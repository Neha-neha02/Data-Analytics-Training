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maw\OneDrive\Desktop\LIET\Data ana\Excel\"/>
    </mc:Choice>
  </mc:AlternateContent>
  <bookViews>
    <workbookView xWindow="0" yWindow="0" windowWidth="26400" windowHeight="10830" firstSheet="6" activeTab="12"/>
  </bookViews>
  <sheets>
    <sheet name="Students data " sheetId="12" r:id="rId1"/>
    <sheet name="Sheet15" sheetId="15" r:id="rId2"/>
    <sheet name="cal" sheetId="13" r:id="rId3"/>
    <sheet name="Sheet16" sheetId="16" r:id="rId4"/>
    <sheet name="Sheet18" sheetId="18" r:id="rId5"/>
    <sheet name="Sheet14" sheetId="14" r:id="rId6"/>
    <sheet name="Dulpicated " sheetId="17" r:id="rId7"/>
    <sheet name="table style" sheetId="19" r:id="rId8"/>
    <sheet name="icon" sheetId="20" r:id="rId9"/>
    <sheet name="if function" sheetId="24" r:id="rId10"/>
    <sheet name="AND FUNCTION" sheetId="25" r:id="rId11"/>
    <sheet name="Count" sheetId="27" r:id="rId12"/>
    <sheet name="Average Function" sheetId="26" r:id="rId13"/>
    <sheet name="hightlight" sheetId="21" r:id="rId14"/>
    <sheet name="Data bar" sheetId="23" r:id="rId15"/>
    <sheet name="Top bottem ruls" sheetId="22" r:id="rId16"/>
  </sheets>
  <definedNames>
    <definedName name="_xlnm._FilterDatabase" localSheetId="2" hidden="1">cal!$A$1:$F$15</definedName>
    <definedName name="_xlnm._FilterDatabase" localSheetId="5" hidden="1">Sheet14!$A$1:$D$28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6" l="1"/>
  <c r="H3" i="26"/>
  <c r="H4" i="26"/>
  <c r="H5" i="26"/>
  <c r="H6" i="26"/>
  <c r="H7" i="26"/>
  <c r="G3" i="26"/>
  <c r="G4" i="26"/>
  <c r="G5" i="26"/>
  <c r="G6" i="26"/>
  <c r="G7" i="26"/>
  <c r="G2" i="26"/>
  <c r="P22" i="27"/>
  <c r="J6" i="27"/>
  <c r="J7" i="27"/>
  <c r="J8" i="27"/>
  <c r="J9" i="27"/>
  <c r="J11" i="27"/>
  <c r="J12" i="27"/>
  <c r="J13" i="27"/>
  <c r="J14" i="27"/>
  <c r="J18" i="27"/>
  <c r="J19" i="27"/>
  <c r="J21" i="27"/>
  <c r="J22" i="27"/>
  <c r="J2" i="27"/>
  <c r="I3" i="27"/>
  <c r="J3" i="27" s="1"/>
  <c r="I4" i="27"/>
  <c r="J4" i="27" s="1"/>
  <c r="I5" i="27"/>
  <c r="J5" i="27" s="1"/>
  <c r="I6" i="27"/>
  <c r="I7" i="27"/>
  <c r="I8" i="27"/>
  <c r="I9" i="27"/>
  <c r="I10" i="27"/>
  <c r="J10" i="27" s="1"/>
  <c r="I11" i="27"/>
  <c r="I12" i="27"/>
  <c r="I13" i="27"/>
  <c r="I14" i="27"/>
  <c r="I15" i="27"/>
  <c r="J15" i="27" s="1"/>
  <c r="I16" i="27"/>
  <c r="J16" i="27" s="1"/>
  <c r="I17" i="27"/>
  <c r="J17" i="27" s="1"/>
  <c r="I18" i="27"/>
  <c r="I19" i="27"/>
  <c r="I20" i="27"/>
  <c r="J20" i="27" s="1"/>
  <c r="I21" i="27"/>
  <c r="I22" i="27"/>
  <c r="I2" i="27"/>
  <c r="D22" i="27"/>
  <c r="B8" i="26"/>
  <c r="F3" i="26"/>
  <c r="F4" i="26"/>
  <c r="F5" i="26"/>
  <c r="F6" i="26"/>
  <c r="F7" i="26"/>
  <c r="F2" i="26"/>
  <c r="D3" i="25"/>
  <c r="D4" i="25"/>
  <c r="D5" i="25"/>
  <c r="D6" i="25"/>
  <c r="D7" i="25"/>
  <c r="D8" i="25"/>
  <c r="D9" i="25"/>
  <c r="D10" i="25"/>
  <c r="D11" i="25"/>
  <c r="D2" i="25"/>
  <c r="D2" i="24"/>
  <c r="D3" i="24" l="1"/>
  <c r="D4" i="24"/>
  <c r="D5" i="24"/>
  <c r="D6" i="24"/>
  <c r="D7" i="24"/>
  <c r="D8" i="24"/>
  <c r="D9" i="24"/>
  <c r="D10" i="24"/>
  <c r="D11" i="24"/>
  <c r="B32" i="13"/>
  <c r="C3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2" i="13"/>
  <c r="D1" i="14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2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C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F8" i="26"/>
</calcChain>
</file>

<file path=xl/sharedStrings.xml><?xml version="1.0" encoding="utf-8"?>
<sst xmlns="http://schemas.openxmlformats.org/spreadsheetml/2006/main" count="666" uniqueCount="210">
  <si>
    <t>Branch</t>
  </si>
  <si>
    <t>Rohit</t>
  </si>
  <si>
    <t>Cse</t>
  </si>
  <si>
    <t>Data</t>
  </si>
  <si>
    <t xml:space="preserve">Marks </t>
  </si>
  <si>
    <t>Govind</t>
  </si>
  <si>
    <t>Kumawat</t>
  </si>
  <si>
    <t>shsrma</t>
  </si>
  <si>
    <r>
      <rPr>
        <b/>
        <sz val="11"/>
        <color theme="0"/>
        <rFont val="Calibri"/>
        <family val="2"/>
        <scheme val="minor"/>
      </rPr>
      <t>Name</t>
    </r>
    <r>
      <rPr>
        <sz val="11"/>
        <color theme="0"/>
        <rFont val="Calibri"/>
        <family val="2"/>
        <scheme val="minor"/>
      </rPr>
      <t xml:space="preserve"> </t>
    </r>
  </si>
  <si>
    <r>
      <rPr>
        <b/>
        <sz val="11"/>
        <color theme="0"/>
        <rFont val="Calibri"/>
        <family val="2"/>
        <scheme val="minor"/>
      </rPr>
      <t>Last Name</t>
    </r>
    <r>
      <rPr>
        <sz val="11"/>
        <color theme="0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</si>
  <si>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Number 1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</si>
  <si>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Number 2</t>
    </r>
    <r>
      <rPr>
        <sz val="11"/>
        <color theme="1"/>
        <rFont val="Calibri"/>
        <family val="2"/>
        <scheme val="minor"/>
      </rPr>
      <t xml:space="preserve"> </t>
    </r>
  </si>
  <si>
    <t>Mul</t>
  </si>
  <si>
    <t>Sub</t>
  </si>
  <si>
    <t>Count</t>
  </si>
  <si>
    <t>HELLO</t>
  </si>
  <si>
    <t>Div</t>
  </si>
  <si>
    <t>10+2*2</t>
  </si>
  <si>
    <t xml:space="preserve">    Name</t>
  </si>
  <si>
    <t>Type 1</t>
  </si>
  <si>
    <t>Type 2</t>
  </si>
  <si>
    <t>HP</t>
  </si>
  <si>
    <t>Attack</t>
  </si>
  <si>
    <t>Defense</t>
  </si>
  <si>
    <t xml:space="preserve">    Abra</t>
  </si>
  <si>
    <t>Psychic</t>
  </si>
  <si>
    <t xml:space="preserve">    Kadabra</t>
  </si>
  <si>
    <t xml:space="preserve">    Alakazam</t>
  </si>
  <si>
    <t xml:space="preserve">    Machop</t>
  </si>
  <si>
    <t>Fighting</t>
  </si>
  <si>
    <t xml:space="preserve">    Machoke</t>
  </si>
  <si>
    <t xml:space="preserve">    Machamp</t>
  </si>
  <si>
    <t xml:space="preserve">    Bellsprout</t>
  </si>
  <si>
    <t>Grass</t>
  </si>
  <si>
    <t>Poison</t>
  </si>
  <si>
    <t xml:space="preserve">    Weepinbell</t>
  </si>
  <si>
    <t xml:space="preserve">    Victreebel</t>
  </si>
  <si>
    <t xml:space="preserve">    Tentacool</t>
  </si>
  <si>
    <t>Water</t>
  </si>
  <si>
    <t xml:space="preserve">    Tentacruel</t>
  </si>
  <si>
    <t xml:space="preserve">    Geodude</t>
  </si>
  <si>
    <t>Rock</t>
  </si>
  <si>
    <t>Ground</t>
  </si>
  <si>
    <t xml:space="preserve">    Graveler</t>
  </si>
  <si>
    <t xml:space="preserve">    Golem</t>
  </si>
  <si>
    <t xml:space="preserve">    Ponyta</t>
  </si>
  <si>
    <t>Fire</t>
  </si>
  <si>
    <t xml:space="preserve">    Rapidash</t>
  </si>
  <si>
    <t xml:space="preserve">    Slowpoke</t>
  </si>
  <si>
    <t xml:space="preserve">    SlowbroMega Slowbro</t>
  </si>
  <si>
    <t xml:space="preserve">    Magnemite</t>
  </si>
  <si>
    <t>Electric</t>
  </si>
  <si>
    <t>Steel</t>
  </si>
  <si>
    <t xml:space="preserve">    Magneton</t>
  </si>
  <si>
    <t xml:space="preserve">    Farfetch'd</t>
  </si>
  <si>
    <t>Normal</t>
  </si>
  <si>
    <t>Flying</t>
  </si>
  <si>
    <t xml:space="preserve">  </t>
  </si>
  <si>
    <t>55</t>
  </si>
  <si>
    <t xml:space="preserve">        Name</t>
  </si>
  <si>
    <t>Speed</t>
  </si>
  <si>
    <t xml:space="preserve">        Bulbasaur</t>
  </si>
  <si>
    <t xml:space="preserve">        Ivysaur</t>
  </si>
  <si>
    <t xml:space="preserve">        Venusaur</t>
  </si>
  <si>
    <t xml:space="preserve">        Charmander</t>
  </si>
  <si>
    <t xml:space="preserve">        Charmeleon</t>
  </si>
  <si>
    <t xml:space="preserve">        Charizard</t>
  </si>
  <si>
    <t xml:space="preserve">        Squirtle</t>
  </si>
  <si>
    <t xml:space="preserve">        Wartortle</t>
  </si>
  <si>
    <t xml:space="preserve">    </t>
  </si>
  <si>
    <t>Sp. Atk</t>
  </si>
  <si>
    <t>Sp. Def</t>
  </si>
  <si>
    <t xml:space="preserve">        Magikarp</t>
  </si>
  <si>
    <t xml:space="preserve">        Gyarados</t>
  </si>
  <si>
    <t xml:space="preserve">        Lapras</t>
  </si>
  <si>
    <t xml:space="preserve">        Ditto</t>
  </si>
  <si>
    <t xml:space="preserve">        Eevee</t>
  </si>
  <si>
    <t xml:space="preserve">        Vaporeon</t>
  </si>
  <si>
    <t xml:space="preserve">        Jolteon</t>
  </si>
  <si>
    <t xml:space="preserve">        Blastoise</t>
  </si>
  <si>
    <t xml:space="preserve">        Caterpie</t>
  </si>
  <si>
    <t>Bug</t>
  </si>
  <si>
    <t xml:space="preserve">        Metapod</t>
  </si>
  <si>
    <t xml:space="preserve">        Butterfree</t>
  </si>
  <si>
    <t xml:space="preserve">        Weedle</t>
  </si>
  <si>
    <t xml:space="preserve">        Kakuna</t>
  </si>
  <si>
    <t xml:space="preserve">        Beedrill</t>
  </si>
  <si>
    <t xml:space="preserve">        Pidgey</t>
  </si>
  <si>
    <t xml:space="preserve">        Pidgeotto</t>
  </si>
  <si>
    <t xml:space="preserve">        Pidgeot</t>
  </si>
  <si>
    <t xml:space="preserve">        Rattata</t>
  </si>
  <si>
    <t xml:space="preserve">        Raticate</t>
  </si>
  <si>
    <t xml:space="preserve">        Spearow</t>
  </si>
  <si>
    <t xml:space="preserve">        Fearow</t>
  </si>
  <si>
    <t xml:space="preserve">        Ekans</t>
  </si>
  <si>
    <t xml:space="preserve">        Arbok</t>
  </si>
  <si>
    <t xml:space="preserve">        Pikachu</t>
  </si>
  <si>
    <t xml:space="preserve">        Raichu</t>
  </si>
  <si>
    <t xml:space="preserve">        Sandshrew</t>
  </si>
  <si>
    <t xml:space="preserve">        Sandslash</t>
  </si>
  <si>
    <t xml:space="preserve">        Nidoran♀</t>
  </si>
  <si>
    <t xml:space="preserve">        Nidorina</t>
  </si>
  <si>
    <t xml:space="preserve">        Onix</t>
  </si>
  <si>
    <t xml:space="preserve">        Drowzee</t>
  </si>
  <si>
    <t xml:space="preserve">        Hypno</t>
  </si>
  <si>
    <t xml:space="preserve">        Krabby</t>
  </si>
  <si>
    <t xml:space="preserve">        Kingler</t>
  </si>
  <si>
    <t xml:space="preserve">        Voltorb</t>
  </si>
  <si>
    <t xml:space="preserve">        Electrode</t>
  </si>
  <si>
    <t xml:space="preserve">        Exeggcute</t>
  </si>
  <si>
    <t xml:space="preserve">        Exeggutor</t>
  </si>
  <si>
    <t xml:space="preserve">  Name</t>
  </si>
  <si>
    <t>Total</t>
  </si>
  <si>
    <t>Grass Type</t>
  </si>
  <si>
    <t xml:space="preserve">  Bulbasaur</t>
  </si>
  <si>
    <t xml:space="preserve">  Ivysaur</t>
  </si>
  <si>
    <t xml:space="preserve">  Venusaur</t>
  </si>
  <si>
    <t xml:space="preserve">  Charmander</t>
  </si>
  <si>
    <t xml:space="preserve">  Charmeleon</t>
  </si>
  <si>
    <t xml:space="preserve">  Charizard</t>
  </si>
  <si>
    <t xml:space="preserve">  Squirtle</t>
  </si>
  <si>
    <t xml:space="preserve">  Wartortle</t>
  </si>
  <si>
    <t xml:space="preserve">  Blastoise</t>
  </si>
  <si>
    <t>Fire Type AND more than 70 Speed</t>
  </si>
  <si>
    <t xml:space="preserve">      Bulbasaur</t>
  </si>
  <si>
    <t xml:space="preserve">      Ivysaur</t>
  </si>
  <si>
    <t xml:space="preserve">      Venusaur</t>
  </si>
  <si>
    <t xml:space="preserve">      Charmander</t>
  </si>
  <si>
    <t xml:space="preserve">      Charmeleon</t>
  </si>
  <si>
    <t xml:space="preserve">      Charizard</t>
  </si>
  <si>
    <t xml:space="preserve">      Squirtle</t>
  </si>
  <si>
    <t xml:space="preserve">      Wartortle</t>
  </si>
  <si>
    <t xml:space="preserve">      Blastoise</t>
  </si>
  <si>
    <t xml:space="preserve">    Trainer</t>
  </si>
  <si>
    <t>Pokeball</t>
  </si>
  <si>
    <t>Great Ball</t>
  </si>
  <si>
    <t>Ultraball</t>
  </si>
  <si>
    <t>Master Ball</t>
  </si>
  <si>
    <t>Average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</si>
  <si>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</si>
  <si>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</si>
  <si>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</si>
  <si>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</si>
  <si>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</si>
  <si>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</si>
  <si>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>Total stats</t>
  </si>
  <si>
    <t xml:space="preserve">    Mankey</t>
  </si>
  <si>
    <t xml:space="preserve">    Poliwrath</t>
  </si>
  <si>
    <t xml:space="preserve">    Dewgong</t>
  </si>
  <si>
    <t>Ice</t>
  </si>
  <si>
    <t xml:space="preserve">    Cloyster</t>
  </si>
  <si>
    <t xml:space="preserve">    Onix</t>
  </si>
  <si>
    <t xml:space="preserve">    Dragonair</t>
  </si>
  <si>
    <t>Dragon</t>
  </si>
  <si>
    <t xml:space="preserve">    Pidgeotto</t>
  </si>
  <si>
    <t xml:space="preserve">    Rattata</t>
  </si>
  <si>
    <t xml:space="preserve">    Beedrill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</si>
  <si>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</si>
  <si>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</si>
  <si>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</si>
  <si>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</si>
  <si>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</si>
  <si>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 xml:space="preserve">    Arbok</t>
  </si>
  <si>
    <t xml:space="preserve">    Gastly</t>
  </si>
  <si>
    <t>Ghost</t>
  </si>
  <si>
    <t xml:space="preserve">    Magikarp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</si>
  <si>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</si>
  <si>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</si>
  <si>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</si>
  <si>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</si>
  <si>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</si>
  <si>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</si>
  <si>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</si>
  <si>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>WateR</t>
  </si>
  <si>
    <t xml:space="preserve">    MagNETon</t>
  </si>
  <si>
    <t>EleCTric</t>
  </si>
  <si>
    <t xml:space="preserve">    DeWgONg</t>
  </si>
  <si>
    <t>WaTEr</t>
  </si>
  <si>
    <t xml:space="preserve">    CloysTER</t>
  </si>
  <si>
    <t>WAtEr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</si>
  <si>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</si>
  <si>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</si>
  <si>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</si>
  <si>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</si>
  <si>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</si>
  <si>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</si>
  <si>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</si>
  <si>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>NOrmAl</t>
  </si>
  <si>
    <t xml:space="preserve">    BeEDrill</t>
  </si>
  <si>
    <t>BuG</t>
  </si>
  <si>
    <t xml:space="preserve">    DodUO</t>
  </si>
  <si>
    <t>NoRMAl</t>
  </si>
  <si>
    <t xml:space="preserve">    KinGLer</t>
  </si>
  <si>
    <t xml:space="preserve">    NIDoquEEn</t>
  </si>
  <si>
    <t>POIson</t>
  </si>
  <si>
    <t xml:space="preserve">    HitMONChan</t>
  </si>
  <si>
    <t>FighTING</t>
  </si>
  <si>
    <t xml:space="preserve">    CharMELEon</t>
  </si>
  <si>
    <t>FirE</t>
  </si>
  <si>
    <t xml:space="preserve">    ArBOk</t>
  </si>
  <si>
    <t>PoISOn</t>
  </si>
  <si>
    <t xml:space="preserve">    GasTLy</t>
  </si>
  <si>
    <t>gHOsT</t>
  </si>
  <si>
    <t xml:space="preserve">    maGIKarp</t>
  </si>
  <si>
    <t>wATer</t>
  </si>
  <si>
    <t>Lower</t>
  </si>
  <si>
    <t>Upper</t>
  </si>
  <si>
    <t>MAX</t>
  </si>
  <si>
    <t>min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</si>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</sst>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2" borderId="0" xfId="0" applyFont="1" applyFill="1"/>
    <xf numFmtId="0" fontId="1" fillId="2" borderId="0" xfId="0" applyFont="1" applyFill="1"/>
    <xf numFmtId="0" fontId="3" fillId="0" borderId="0" xfId="0" applyFont="1" applyFill="1"/>
    <xf numFmtId="0" fontId="0" fillId="4" borderId="1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4" fillId="5" borderId="0" xfId="0" applyFont="1" applyFill="1"/>
    <xf numFmtId="0" fontId="2" fillId="2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2" displayName="Table2" ref="A1:E22" totalsRowShown="0" headerRowDxfId="3">
  <autoFilter ref="A1:E22"/>
  <tableColumns count="5">
    <tableColumn id="1" name="Name "/>
    <tableColumn id="2" name="Last Name "/>
    <tableColumn id="3" name="Branch"/>
    <tableColumn id="4" name="Marks "/>
    <tableColumn id="5" name="Dat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F22" totalsRowShown="0">
  <autoFilter ref="A1:F22"/>
  <tableColumns count="6">
    <tableColumn id="1" name="    Name"/>
    <tableColumn id="2" name="Type 1"/>
    <tableColumn id="3" name="Type 2"/>
    <tableColumn id="4" name="HP"/>
    <tableColumn id="5" name="Attack"/>
    <tableColumn id="6" name="55"/>
  </tableColumns>
  <tableStyleInfo name="TableStyleMedium3" showFirstColumn="1" showLastColumn="0" showRowStripes="1" showColumnStripes="1"/>
</table>
</file>

<file path=xl/tables/table3.xml><?xml version="1.0" encoding="utf-8"?>
<table xmlns="http://schemas.openxmlformats.org/spreadsheetml/2006/main" id="5" name="Table5" displayName="Table5" ref="A1:F22" totalsRowShown="0">
  <autoFilter ref="A1:F22"/>
  <tableColumns count="6">
    <tableColumn id="1" name="    Name"/>
    <tableColumn id="2" name="Type 1"/>
    <tableColumn id="3" name="Type 2"/>
    <tableColumn id="4" name="HP"/>
    <tableColumn id="5" name="Attack"/>
    <tableColumn id="6" name="Defen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F5" totalsRowShown="0">
  <autoFilter ref="A1:F5"/>
  <tableColumns count="6">
    <tableColumn id="1" name="    Name"/>
    <tableColumn id="2" name="Type 1"/>
    <tableColumn id="3" name="Type 2"/>
    <tableColumn id="4" name="HP"/>
    <tableColumn id="5" name="Attack"/>
    <tableColumn id="6" name="Defen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A1:F17" totalsRowShown="0">
  <autoFilter ref="A1:F17"/>
  <tableColumns count="6">
    <tableColumn id="1" name="    Name"/>
    <tableColumn id="2" name="Type 1"/>
    <tableColumn id="3" name="Type 2"/>
    <tableColumn id="4" name="HP"/>
    <tableColumn id="5" name="Attack"/>
    <tableColumn id="6" name="Defense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E2" sqref="E2:E22"/>
    </sheetView>
  </sheetViews>
  <sheetFormatPr defaultRowHeight="15" x14ac:dyDescent="0.25"/>
  <cols>
    <col min="2" max="2" width="12.7109375" customWidth="1"/>
    <col min="5" max="5" width="10.42578125" bestFit="1" customWidth="1"/>
  </cols>
  <sheetData>
    <row r="1" spans="1:6" x14ac:dyDescent="0.25">
      <c r="A1" s="3" t="s">
        <v>8</v>
      </c>
      <c r="B1" s="3" t="s">
        <v>9</v>
      </c>
      <c r="C1" s="4" t="s">
        <v>0</v>
      </c>
      <c r="D1" s="4" t="s">
        <v>4</v>
      </c>
      <c r="E1" s="4" t="s">
        <v>3</v>
      </c>
      <c r="F1" s="5"/>
    </row>
    <row r="2" spans="1:6" x14ac:dyDescent="0.25">
      <c r="A2" t="s">
        <v>5</v>
      </c>
      <c r="B2" t="s">
        <v>6</v>
      </c>
      <c r="C2" t="s">
        <v>2</v>
      </c>
      <c r="D2">
        <v>50</v>
      </c>
      <c r="E2" s="2">
        <v>37268</v>
      </c>
    </row>
    <row r="3" spans="1:6" x14ac:dyDescent="0.25">
      <c r="A3" t="s">
        <v>1</v>
      </c>
      <c r="B3" t="s">
        <v>7</v>
      </c>
      <c r="C3" t="s">
        <v>2</v>
      </c>
      <c r="D3">
        <v>60</v>
      </c>
      <c r="E3" s="2">
        <v>37269</v>
      </c>
    </row>
    <row r="4" spans="1:6" x14ac:dyDescent="0.25">
      <c r="A4" t="s">
        <v>1</v>
      </c>
      <c r="B4" t="s">
        <v>7</v>
      </c>
      <c r="C4" t="s">
        <v>2</v>
      </c>
      <c r="D4">
        <v>60</v>
      </c>
      <c r="E4" s="2">
        <v>37270</v>
      </c>
    </row>
    <row r="5" spans="1:6" x14ac:dyDescent="0.25">
      <c r="A5" t="s">
        <v>1</v>
      </c>
      <c r="B5" t="s">
        <v>7</v>
      </c>
      <c r="C5" t="s">
        <v>2</v>
      </c>
      <c r="D5">
        <v>60</v>
      </c>
      <c r="E5" s="2">
        <v>37271</v>
      </c>
    </row>
    <row r="6" spans="1:6" x14ac:dyDescent="0.25">
      <c r="A6" t="s">
        <v>1</v>
      </c>
      <c r="B6" t="s">
        <v>7</v>
      </c>
      <c r="C6" t="s">
        <v>2</v>
      </c>
      <c r="D6">
        <v>60</v>
      </c>
      <c r="E6" s="2">
        <v>37272</v>
      </c>
    </row>
    <row r="7" spans="1:6" x14ac:dyDescent="0.25">
      <c r="A7" t="s">
        <v>1</v>
      </c>
      <c r="B7" t="s">
        <v>7</v>
      </c>
      <c r="C7" t="s">
        <v>2</v>
      </c>
      <c r="D7">
        <v>60</v>
      </c>
      <c r="E7" s="2">
        <v>37273</v>
      </c>
    </row>
    <row r="8" spans="1:6" x14ac:dyDescent="0.25">
      <c r="A8" t="s">
        <v>1</v>
      </c>
      <c r="B8" t="s">
        <v>7</v>
      </c>
      <c r="C8" t="s">
        <v>2</v>
      </c>
      <c r="D8">
        <v>60</v>
      </c>
      <c r="E8" s="2">
        <v>37274</v>
      </c>
    </row>
    <row r="9" spans="1:6" x14ac:dyDescent="0.25">
      <c r="A9" t="s">
        <v>1</v>
      </c>
      <c r="B9" t="s">
        <v>7</v>
      </c>
      <c r="C9" t="s">
        <v>2</v>
      </c>
      <c r="D9">
        <v>60</v>
      </c>
      <c r="E9" s="2">
        <v>37275</v>
      </c>
    </row>
    <row r="10" spans="1:6" x14ac:dyDescent="0.25">
      <c r="A10" t="s">
        <v>1</v>
      </c>
      <c r="B10" t="s">
        <v>7</v>
      </c>
      <c r="C10" t="s">
        <v>2</v>
      </c>
      <c r="D10">
        <v>60</v>
      </c>
      <c r="E10" s="2">
        <v>37276</v>
      </c>
    </row>
    <row r="11" spans="1:6" x14ac:dyDescent="0.25">
      <c r="A11" t="s">
        <v>1</v>
      </c>
      <c r="B11" t="s">
        <v>7</v>
      </c>
      <c r="C11" t="s">
        <v>2</v>
      </c>
      <c r="D11">
        <v>60</v>
      </c>
      <c r="E11" s="2">
        <v>37277</v>
      </c>
    </row>
    <row r="12" spans="1:6" x14ac:dyDescent="0.25">
      <c r="A12" t="s">
        <v>1</v>
      </c>
      <c r="B12" t="s">
        <v>7</v>
      </c>
      <c r="C12" t="s">
        <v>2</v>
      </c>
      <c r="D12">
        <v>60</v>
      </c>
      <c r="E12" s="2">
        <v>37278</v>
      </c>
    </row>
    <row r="13" spans="1:6" x14ac:dyDescent="0.25">
      <c r="A13" t="s">
        <v>1</v>
      </c>
      <c r="B13" t="s">
        <v>7</v>
      </c>
      <c r="C13" t="s">
        <v>2</v>
      </c>
      <c r="D13">
        <v>60</v>
      </c>
      <c r="E13" s="2">
        <v>37279</v>
      </c>
    </row>
    <row r="14" spans="1:6" x14ac:dyDescent="0.25">
      <c r="A14" t="s">
        <v>1</v>
      </c>
      <c r="B14" t="s">
        <v>7</v>
      </c>
      <c r="C14" t="s">
        <v>2</v>
      </c>
      <c r="D14">
        <v>60</v>
      </c>
      <c r="E14" s="2">
        <v>37280</v>
      </c>
    </row>
    <row r="15" spans="1:6" x14ac:dyDescent="0.25">
      <c r="A15" t="s">
        <v>1</v>
      </c>
      <c r="B15" t="s">
        <v>7</v>
      </c>
      <c r="C15" t="s">
        <v>2</v>
      </c>
      <c r="D15">
        <v>60</v>
      </c>
      <c r="E15" s="2">
        <v>37281</v>
      </c>
    </row>
    <row r="16" spans="1:6" x14ac:dyDescent="0.25">
      <c r="A16" t="s">
        <v>1</v>
      </c>
      <c r="B16" t="s">
        <v>7</v>
      </c>
      <c r="C16" t="s">
        <v>2</v>
      </c>
      <c r="D16">
        <v>60</v>
      </c>
      <c r="E16" s="2">
        <v>37282</v>
      </c>
    </row>
    <row r="17" spans="1:5" x14ac:dyDescent="0.25">
      <c r="A17" t="s">
        <v>1</v>
      </c>
      <c r="B17" t="s">
        <v>7</v>
      </c>
      <c r="C17" t="s">
        <v>2</v>
      </c>
      <c r="D17">
        <v>60</v>
      </c>
      <c r="E17" s="2">
        <v>37283</v>
      </c>
    </row>
    <row r="18" spans="1:5" x14ac:dyDescent="0.25">
      <c r="A18" t="s">
        <v>1</v>
      </c>
      <c r="B18" t="s">
        <v>7</v>
      </c>
      <c r="C18" t="s">
        <v>2</v>
      </c>
      <c r="D18">
        <v>60</v>
      </c>
      <c r="E18" s="2">
        <v>37284</v>
      </c>
    </row>
    <row r="19" spans="1:5" x14ac:dyDescent="0.25">
      <c r="A19" t="s">
        <v>1</v>
      </c>
      <c r="B19" t="s">
        <v>7</v>
      </c>
      <c r="C19" t="s">
        <v>2</v>
      </c>
      <c r="D19">
        <v>60</v>
      </c>
      <c r="E19" s="2">
        <v>37285</v>
      </c>
    </row>
    <row r="20" spans="1:5" x14ac:dyDescent="0.25">
      <c r="A20" t="s">
        <v>1</v>
      </c>
      <c r="B20" t="s">
        <v>7</v>
      </c>
      <c r="C20" t="s">
        <v>2</v>
      </c>
      <c r="D20">
        <v>60</v>
      </c>
      <c r="E20" s="2">
        <v>37286</v>
      </c>
    </row>
    <row r="21" spans="1:5" x14ac:dyDescent="0.25">
      <c r="A21" t="s">
        <v>1</v>
      </c>
      <c r="B21" t="s">
        <v>7</v>
      </c>
      <c r="C21" t="s">
        <v>2</v>
      </c>
      <c r="D21">
        <v>60</v>
      </c>
      <c r="E21" s="2">
        <v>37287</v>
      </c>
    </row>
    <row r="22" spans="1:5" x14ac:dyDescent="0.25">
      <c r="A22" t="s">
        <v>1</v>
      </c>
      <c r="B22" t="s">
        <v>7</v>
      </c>
      <c r="C22" t="s">
        <v>2</v>
      </c>
      <c r="D22">
        <v>60</v>
      </c>
      <c r="E22" s="2">
        <v>37288</v>
      </c>
    </row>
    <row r="23" spans="1:5" x14ac:dyDescent="0.25">
      <c r="E23" s="2"/>
    </row>
    <row r="24" spans="1:5" x14ac:dyDescent="0.25">
      <c r="E24" s="2"/>
    </row>
    <row r="25" spans="1:5" x14ac:dyDescent="0.25">
      <c r="E2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I24" sqref="I24"/>
    </sheetView>
  </sheetViews>
  <sheetFormatPr defaultRowHeight="15" x14ac:dyDescent="0.25"/>
  <cols>
    <col min="1" max="1" width="10.140625" customWidth="1"/>
    <col min="6" max="6" width="10.570312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58</v>
      </c>
    </row>
    <row r="2" spans="1:6" x14ac:dyDescent="0.25">
      <c r="A2" t="s">
        <v>24</v>
      </c>
      <c r="B2" t="s">
        <v>25</v>
      </c>
      <c r="D2">
        <v>25</v>
      </c>
      <c r="E2">
        <v>20</v>
      </c>
      <c r="F2">
        <v>55</v>
      </c>
    </row>
    <row r="3" spans="1:6" x14ac:dyDescent="0.25">
      <c r="A3" t="s">
        <v>26</v>
      </c>
      <c r="B3" t="s">
        <v>25</v>
      </c>
      <c r="D3">
        <v>40</v>
      </c>
      <c r="E3">
        <v>35</v>
      </c>
      <c r="F3">
        <v>55</v>
      </c>
    </row>
    <row r="4" spans="1:6" x14ac:dyDescent="0.25">
      <c r="A4" t="s">
        <v>27</v>
      </c>
      <c r="B4" t="s">
        <v>25</v>
      </c>
      <c r="D4">
        <v>55</v>
      </c>
      <c r="E4">
        <v>50</v>
      </c>
      <c r="F4">
        <v>55</v>
      </c>
    </row>
    <row r="5" spans="1:6" x14ac:dyDescent="0.25">
      <c r="A5" t="s">
        <v>28</v>
      </c>
      <c r="B5" t="s">
        <v>29</v>
      </c>
      <c r="D5">
        <v>70</v>
      </c>
      <c r="E5">
        <v>80</v>
      </c>
      <c r="F5">
        <v>55</v>
      </c>
    </row>
    <row r="6" spans="1:6" x14ac:dyDescent="0.25">
      <c r="A6" t="s">
        <v>30</v>
      </c>
      <c r="B6" t="s">
        <v>29</v>
      </c>
      <c r="D6">
        <v>80</v>
      </c>
      <c r="E6">
        <v>100</v>
      </c>
      <c r="F6">
        <v>55</v>
      </c>
    </row>
    <row r="7" spans="1:6" x14ac:dyDescent="0.25">
      <c r="A7" t="s">
        <v>31</v>
      </c>
      <c r="B7" t="s">
        <v>29</v>
      </c>
      <c r="D7">
        <v>90</v>
      </c>
      <c r="E7">
        <v>130</v>
      </c>
      <c r="F7">
        <v>55</v>
      </c>
    </row>
    <row r="8" spans="1:6" x14ac:dyDescent="0.25">
      <c r="A8" t="s">
        <v>32</v>
      </c>
      <c r="B8" t="s">
        <v>33</v>
      </c>
      <c r="C8" t="s">
        <v>34</v>
      </c>
      <c r="D8">
        <v>50</v>
      </c>
      <c r="E8">
        <v>75</v>
      </c>
      <c r="F8">
        <v>55</v>
      </c>
    </row>
    <row r="9" spans="1:6" x14ac:dyDescent="0.25">
      <c r="A9" t="s">
        <v>35</v>
      </c>
      <c r="B9" t="s">
        <v>33</v>
      </c>
      <c r="C9" t="s">
        <v>34</v>
      </c>
      <c r="D9">
        <v>65</v>
      </c>
      <c r="E9">
        <v>90</v>
      </c>
      <c r="F9">
        <v>55</v>
      </c>
    </row>
    <row r="10" spans="1:6" x14ac:dyDescent="0.25">
      <c r="A10" t="s">
        <v>36</v>
      </c>
      <c r="B10" t="s">
        <v>33</v>
      </c>
      <c r="C10" t="s">
        <v>34</v>
      </c>
      <c r="D10">
        <v>80</v>
      </c>
      <c r="E10">
        <v>105</v>
      </c>
      <c r="F10">
        <v>55</v>
      </c>
    </row>
    <row r="11" spans="1:6" x14ac:dyDescent="0.25">
      <c r="A11" t="s">
        <v>37</v>
      </c>
      <c r="B11" t="s">
        <v>38</v>
      </c>
      <c r="C11" t="s">
        <v>34</v>
      </c>
      <c r="D11">
        <v>40</v>
      </c>
      <c r="E11">
        <v>40</v>
      </c>
      <c r="F11">
        <v>55</v>
      </c>
    </row>
    <row r="12" spans="1:6" x14ac:dyDescent="0.25">
      <c r="A12" t="s">
        <v>39</v>
      </c>
      <c r="B12" t="s">
        <v>38</v>
      </c>
      <c r="C12" t="s">
        <v>34</v>
      </c>
      <c r="D12">
        <v>80</v>
      </c>
      <c r="E12">
        <v>70</v>
      </c>
      <c r="F12">
        <v>55</v>
      </c>
    </row>
    <row r="13" spans="1:6" x14ac:dyDescent="0.25">
      <c r="A13" t="s">
        <v>40</v>
      </c>
      <c r="B13" t="s">
        <v>41</v>
      </c>
      <c r="C13" t="s">
        <v>42</v>
      </c>
      <c r="D13">
        <v>40</v>
      </c>
      <c r="E13">
        <v>80</v>
      </c>
      <c r="F13">
        <v>55</v>
      </c>
    </row>
    <row r="14" spans="1:6" x14ac:dyDescent="0.25">
      <c r="A14" t="s">
        <v>43</v>
      </c>
      <c r="B14" t="s">
        <v>41</v>
      </c>
      <c r="C14" t="s">
        <v>42</v>
      </c>
      <c r="D14">
        <v>55</v>
      </c>
      <c r="E14">
        <v>95</v>
      </c>
      <c r="F14">
        <v>55</v>
      </c>
    </row>
    <row r="15" spans="1:6" x14ac:dyDescent="0.25">
      <c r="A15" t="s">
        <v>44</v>
      </c>
      <c r="B15" t="s">
        <v>41</v>
      </c>
      <c r="C15" t="s">
        <v>42</v>
      </c>
      <c r="D15">
        <v>80</v>
      </c>
      <c r="E15">
        <v>120</v>
      </c>
      <c r="F15">
        <v>55</v>
      </c>
    </row>
    <row r="16" spans="1:6" x14ac:dyDescent="0.25">
      <c r="A16" t="s">
        <v>45</v>
      </c>
      <c r="B16" t="s">
        <v>46</v>
      </c>
      <c r="D16">
        <v>50</v>
      </c>
      <c r="E16">
        <v>85</v>
      </c>
      <c r="F16">
        <v>55</v>
      </c>
    </row>
    <row r="17" spans="1:6" x14ac:dyDescent="0.25">
      <c r="A17" t="s">
        <v>47</v>
      </c>
      <c r="B17" t="s">
        <v>46</v>
      </c>
      <c r="D17">
        <v>65</v>
      </c>
      <c r="E17">
        <v>100</v>
      </c>
      <c r="F17">
        <v>55</v>
      </c>
    </row>
    <row r="18" spans="1:6" x14ac:dyDescent="0.25">
      <c r="A18" t="s">
        <v>48</v>
      </c>
      <c r="B18" t="s">
        <v>38</v>
      </c>
      <c r="C18" t="s">
        <v>25</v>
      </c>
      <c r="D18">
        <v>90</v>
      </c>
      <c r="E18">
        <v>65</v>
      </c>
      <c r="F18">
        <v>55</v>
      </c>
    </row>
    <row r="19" spans="1:6" x14ac:dyDescent="0.25">
      <c r="A19" t="s">
        <v>49</v>
      </c>
      <c r="B19" t="s">
        <v>38</v>
      </c>
      <c r="C19" t="s">
        <v>25</v>
      </c>
      <c r="D19">
        <v>95</v>
      </c>
      <c r="E19">
        <v>75</v>
      </c>
      <c r="F19">
        <v>55</v>
      </c>
    </row>
    <row r="20" spans="1:6" x14ac:dyDescent="0.25">
      <c r="A20" t="s">
        <v>50</v>
      </c>
      <c r="B20" t="s">
        <v>51</v>
      </c>
      <c r="C20" t="s">
        <v>52</v>
      </c>
      <c r="D20">
        <v>25</v>
      </c>
      <c r="E20">
        <v>35</v>
      </c>
      <c r="F20">
        <v>55</v>
      </c>
    </row>
    <row r="21" spans="1:6" x14ac:dyDescent="0.25">
      <c r="A21" t="s">
        <v>53</v>
      </c>
      <c r="B21" t="s">
        <v>51</v>
      </c>
      <c r="C21" t="s">
        <v>52</v>
      </c>
      <c r="D21">
        <v>50</v>
      </c>
      <c r="E21">
        <v>60</v>
      </c>
      <c r="F21">
        <v>55</v>
      </c>
    </row>
    <row r="22" spans="1:6" x14ac:dyDescent="0.25">
      <c r="A22" t="s">
        <v>54</v>
      </c>
      <c r="B22" t="s">
        <v>55</v>
      </c>
      <c r="C22" t="s">
        <v>56</v>
      </c>
      <c r="D22">
        <v>52</v>
      </c>
      <c r="E22">
        <v>65</v>
      </c>
      <c r="F22">
        <v>55</v>
      </c>
    </row>
    <row r="23" spans="1:6" x14ac:dyDescent="0.25">
      <c r="A23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F1" sqref="F1"/>
    </sheetView>
  </sheetViews>
  <sheetFormatPr defaultRowHeight="15" x14ac:dyDescent="0.25"/>
  <cols>
    <col min="1" max="1" width="10.5703125" bestFit="1" customWidth="1"/>
    <col min="2" max="2" width="10.140625" bestFit="1" customWidth="1"/>
  </cols>
  <sheetData>
    <row r="1" spans="1:6" x14ac:dyDescent="0.25">
      <c r="A1" t="s">
        <v>10</v>
      </c>
      <c r="B1" t="s">
        <v>11</v>
      </c>
      <c r="C1" s="1" t="s">
        <v>14</v>
      </c>
      <c r="D1" s="1" t="s">
        <v>16</v>
      </c>
      <c r="E1" s="1" t="s">
        <v>13</v>
      </c>
      <c r="F1" s="1" t="s">
        <v>12</v>
      </c>
    </row>
    <row r="2" spans="1:6" x14ac:dyDescent="0.25">
      <c r="A2">
        <v>1</v>
      </c>
      <c r="B2">
        <v>1</v>
      </c>
      <c r="C2">
        <f>A2-B2</f>
        <v>0</v>
      </c>
      <c r="D2" t="e">
        <f xml:space="preserve"> A1/B2</f>
        <v>#VALUE!</v>
      </c>
      <c r="E2" t="e">
        <f xml:space="preserve"> A1-B2</f>
        <v>#VALUE!</v>
      </c>
      <c r="F2">
        <f xml:space="preserve"> A2*B2</f>
        <v>1</v>
      </c>
    </row>
    <row r="3" spans="1:6" x14ac:dyDescent="0.25">
      <c r="A3">
        <v>2</v>
      </c>
      <c r="B3">
        <v>2</v>
      </c>
      <c r="C3">
        <f t="shared" ref="C3:C31" si="0" xml:space="preserve"> A3+B3</f>
        <v>4</v>
      </c>
      <c r="D3">
        <f t="shared" ref="D3:D31" si="1" xml:space="preserve"> A2/B3</f>
        <v>0.5</v>
      </c>
      <c r="E3">
        <f t="shared" ref="E3:E31" si="2" xml:space="preserve"> A2-B3</f>
        <v>-1</v>
      </c>
      <c r="F3">
        <f t="shared" ref="F3:F31" si="3" xml:space="preserve"> A3*B3</f>
        <v>4</v>
      </c>
    </row>
    <row r="4" spans="1:6" x14ac:dyDescent="0.25">
      <c r="A4">
        <v>3</v>
      </c>
      <c r="B4">
        <v>3</v>
      </c>
      <c r="C4">
        <f t="shared" si="0"/>
        <v>6</v>
      </c>
      <c r="D4">
        <f t="shared" si="1"/>
        <v>0.66666666666666663</v>
      </c>
      <c r="E4">
        <f t="shared" si="2"/>
        <v>-1</v>
      </c>
      <c r="F4">
        <f t="shared" si="3"/>
        <v>9</v>
      </c>
    </row>
    <row r="5" spans="1:6" x14ac:dyDescent="0.25">
      <c r="A5">
        <v>44</v>
      </c>
      <c r="B5">
        <v>44</v>
      </c>
      <c r="C5">
        <f t="shared" si="0"/>
        <v>88</v>
      </c>
      <c r="D5">
        <f t="shared" si="1"/>
        <v>6.8181818181818177E-2</v>
      </c>
      <c r="E5">
        <f t="shared" si="2"/>
        <v>-41</v>
      </c>
      <c r="F5">
        <f t="shared" si="3"/>
        <v>1936</v>
      </c>
    </row>
    <row r="6" spans="1:6" x14ac:dyDescent="0.25">
      <c r="A6">
        <v>4</v>
      </c>
      <c r="B6">
        <v>5</v>
      </c>
      <c r="C6">
        <f t="shared" si="0"/>
        <v>9</v>
      </c>
      <c r="D6">
        <f t="shared" si="1"/>
        <v>8.8000000000000007</v>
      </c>
      <c r="E6">
        <f t="shared" si="2"/>
        <v>39</v>
      </c>
      <c r="F6">
        <f t="shared" si="3"/>
        <v>20</v>
      </c>
    </row>
    <row r="7" spans="1:6" x14ac:dyDescent="0.25">
      <c r="A7">
        <v>55</v>
      </c>
      <c r="B7">
        <v>6</v>
      </c>
      <c r="C7">
        <f t="shared" si="0"/>
        <v>61</v>
      </c>
      <c r="D7">
        <f t="shared" si="1"/>
        <v>0.66666666666666663</v>
      </c>
      <c r="E7">
        <f t="shared" si="2"/>
        <v>-2</v>
      </c>
      <c r="F7">
        <f t="shared" si="3"/>
        <v>330</v>
      </c>
    </row>
    <row r="8" spans="1:6" x14ac:dyDescent="0.25">
      <c r="A8">
        <v>5</v>
      </c>
      <c r="B8">
        <v>7</v>
      </c>
      <c r="C8">
        <f t="shared" si="0"/>
        <v>12</v>
      </c>
      <c r="D8">
        <f t="shared" si="1"/>
        <v>7.8571428571428568</v>
      </c>
      <c r="E8">
        <f t="shared" si="2"/>
        <v>48</v>
      </c>
      <c r="F8">
        <f t="shared" si="3"/>
        <v>35</v>
      </c>
    </row>
    <row r="9" spans="1:6" x14ac:dyDescent="0.25">
      <c r="A9">
        <v>55</v>
      </c>
      <c r="B9">
        <v>9</v>
      </c>
      <c r="C9">
        <f t="shared" si="0"/>
        <v>64</v>
      </c>
      <c r="D9">
        <f t="shared" si="1"/>
        <v>0.55555555555555558</v>
      </c>
      <c r="E9">
        <f t="shared" si="2"/>
        <v>-4</v>
      </c>
      <c r="F9">
        <f t="shared" si="3"/>
        <v>495</v>
      </c>
    </row>
    <row r="10" spans="1:6" x14ac:dyDescent="0.25">
      <c r="A10">
        <v>65</v>
      </c>
      <c r="B10">
        <v>9</v>
      </c>
      <c r="C10">
        <f t="shared" si="0"/>
        <v>74</v>
      </c>
      <c r="D10">
        <f t="shared" si="1"/>
        <v>6.1111111111111107</v>
      </c>
      <c r="E10">
        <f t="shared" si="2"/>
        <v>46</v>
      </c>
      <c r="F10">
        <f t="shared" si="3"/>
        <v>585</v>
      </c>
    </row>
    <row r="11" spans="1:6" x14ac:dyDescent="0.25">
      <c r="A11">
        <v>66</v>
      </c>
      <c r="B11">
        <v>1</v>
      </c>
      <c r="C11">
        <f t="shared" si="0"/>
        <v>67</v>
      </c>
      <c r="D11">
        <f t="shared" si="1"/>
        <v>65</v>
      </c>
      <c r="E11">
        <f t="shared" si="2"/>
        <v>64</v>
      </c>
      <c r="F11">
        <f t="shared" si="3"/>
        <v>66</v>
      </c>
    </row>
    <row r="12" spans="1:6" x14ac:dyDescent="0.25">
      <c r="A12">
        <v>6</v>
      </c>
      <c r="B12">
        <v>1</v>
      </c>
      <c r="C12">
        <f t="shared" si="0"/>
        <v>7</v>
      </c>
      <c r="D12">
        <f t="shared" si="1"/>
        <v>66</v>
      </c>
      <c r="E12">
        <f t="shared" si="2"/>
        <v>65</v>
      </c>
      <c r="F12">
        <f t="shared" si="3"/>
        <v>6</v>
      </c>
    </row>
    <row r="13" spans="1:6" x14ac:dyDescent="0.25">
      <c r="A13">
        <v>7</v>
      </c>
      <c r="B13">
        <v>22</v>
      </c>
      <c r="C13">
        <f t="shared" si="0"/>
        <v>29</v>
      </c>
      <c r="D13">
        <f t="shared" si="1"/>
        <v>0.27272727272727271</v>
      </c>
      <c r="E13">
        <f t="shared" si="2"/>
        <v>-16</v>
      </c>
      <c r="F13">
        <f t="shared" si="3"/>
        <v>154</v>
      </c>
    </row>
    <row r="14" spans="1:6" x14ac:dyDescent="0.25">
      <c r="A14">
        <v>7</v>
      </c>
      <c r="B14">
        <v>2</v>
      </c>
      <c r="C14">
        <f t="shared" si="0"/>
        <v>9</v>
      </c>
      <c r="D14">
        <f t="shared" si="1"/>
        <v>3.5</v>
      </c>
      <c r="E14">
        <f t="shared" si="2"/>
        <v>5</v>
      </c>
      <c r="F14">
        <f t="shared" si="3"/>
        <v>14</v>
      </c>
    </row>
    <row r="15" spans="1:6" x14ac:dyDescent="0.25">
      <c r="A15">
        <v>7</v>
      </c>
      <c r="B15">
        <v>2</v>
      </c>
      <c r="C15">
        <f t="shared" si="0"/>
        <v>9</v>
      </c>
      <c r="D15">
        <f t="shared" si="1"/>
        <v>3.5</v>
      </c>
      <c r="E15">
        <f t="shared" si="2"/>
        <v>5</v>
      </c>
      <c r="F15">
        <f t="shared" si="3"/>
        <v>14</v>
      </c>
    </row>
    <row r="17" spans="1:6" x14ac:dyDescent="0.25">
      <c r="A17">
        <v>7</v>
      </c>
      <c r="B17">
        <v>2</v>
      </c>
      <c r="C17">
        <f t="shared" si="0"/>
        <v>9</v>
      </c>
      <c r="D17">
        <f xml:space="preserve"> A15/B17</f>
        <v>3.5</v>
      </c>
      <c r="E17">
        <f xml:space="preserve"> A15-B17</f>
        <v>5</v>
      </c>
      <c r="F17">
        <f t="shared" si="3"/>
        <v>14</v>
      </c>
    </row>
    <row r="18" spans="1:6" x14ac:dyDescent="0.25">
      <c r="A18">
        <v>7</v>
      </c>
      <c r="B18">
        <v>2</v>
      </c>
      <c r="C18">
        <f t="shared" si="0"/>
        <v>9</v>
      </c>
      <c r="D18">
        <f t="shared" si="1"/>
        <v>3.5</v>
      </c>
      <c r="E18">
        <f t="shared" si="2"/>
        <v>5</v>
      </c>
      <c r="F18">
        <f t="shared" si="3"/>
        <v>14</v>
      </c>
    </row>
    <row r="19" spans="1:6" x14ac:dyDescent="0.25">
      <c r="A19">
        <v>2</v>
      </c>
      <c r="B19">
        <v>3</v>
      </c>
      <c r="C19">
        <f t="shared" si="0"/>
        <v>5</v>
      </c>
      <c r="D19">
        <f t="shared" si="1"/>
        <v>2.3333333333333335</v>
      </c>
      <c r="E19">
        <f t="shared" si="2"/>
        <v>4</v>
      </c>
      <c r="F19">
        <f t="shared" si="3"/>
        <v>6</v>
      </c>
    </row>
    <row r="20" spans="1:6" x14ac:dyDescent="0.25">
      <c r="A20">
        <v>7</v>
      </c>
      <c r="B20">
        <v>34</v>
      </c>
      <c r="C20">
        <f t="shared" si="0"/>
        <v>41</v>
      </c>
      <c r="D20">
        <f t="shared" si="1"/>
        <v>5.8823529411764705E-2</v>
      </c>
      <c r="E20">
        <f t="shared" si="2"/>
        <v>-32</v>
      </c>
      <c r="F20">
        <f t="shared" si="3"/>
        <v>238</v>
      </c>
    </row>
    <row r="21" spans="1:6" x14ac:dyDescent="0.25">
      <c r="A21">
        <v>8</v>
      </c>
      <c r="B21">
        <v>4</v>
      </c>
      <c r="C21">
        <f t="shared" si="0"/>
        <v>12</v>
      </c>
      <c r="D21">
        <f t="shared" si="1"/>
        <v>1.75</v>
      </c>
      <c r="E21">
        <f t="shared" si="2"/>
        <v>3</v>
      </c>
      <c r="F21">
        <f t="shared" si="3"/>
        <v>32</v>
      </c>
    </row>
    <row r="22" spans="1:6" x14ac:dyDescent="0.25">
      <c r="A22">
        <v>8</v>
      </c>
      <c r="B22">
        <v>5</v>
      </c>
      <c r="C22">
        <f t="shared" si="0"/>
        <v>13</v>
      </c>
      <c r="D22">
        <f t="shared" si="1"/>
        <v>1.6</v>
      </c>
      <c r="E22">
        <f t="shared" si="2"/>
        <v>3</v>
      </c>
      <c r="F22">
        <f t="shared" si="3"/>
        <v>40</v>
      </c>
    </row>
    <row r="23" spans="1:6" x14ac:dyDescent="0.25">
      <c r="A23">
        <v>2</v>
      </c>
      <c r="B23">
        <v>5</v>
      </c>
      <c r="C23">
        <f t="shared" si="0"/>
        <v>7</v>
      </c>
      <c r="D23">
        <f t="shared" si="1"/>
        <v>1.6</v>
      </c>
      <c r="E23">
        <f t="shared" si="2"/>
        <v>3</v>
      </c>
      <c r="F23">
        <f t="shared" si="3"/>
        <v>10</v>
      </c>
    </row>
    <row r="24" spans="1:6" x14ac:dyDescent="0.25">
      <c r="A24">
        <v>8</v>
      </c>
      <c r="B24">
        <v>5</v>
      </c>
      <c r="C24">
        <f t="shared" si="0"/>
        <v>13</v>
      </c>
      <c r="D24">
        <f t="shared" si="1"/>
        <v>0.4</v>
      </c>
      <c r="E24">
        <f t="shared" si="2"/>
        <v>-3</v>
      </c>
      <c r="F24">
        <f t="shared" si="3"/>
        <v>40</v>
      </c>
    </row>
    <row r="25" spans="1:6" x14ac:dyDescent="0.25">
      <c r="A25">
        <v>8</v>
      </c>
      <c r="B25">
        <v>66</v>
      </c>
      <c r="C25">
        <f t="shared" si="0"/>
        <v>74</v>
      </c>
      <c r="D25">
        <f t="shared" si="1"/>
        <v>0.12121212121212122</v>
      </c>
      <c r="E25">
        <f t="shared" si="2"/>
        <v>-58</v>
      </c>
      <c r="F25">
        <f t="shared" si="3"/>
        <v>528</v>
      </c>
    </row>
    <row r="26" spans="1:6" x14ac:dyDescent="0.25">
      <c r="A26">
        <v>2</v>
      </c>
      <c r="B26">
        <v>6</v>
      </c>
      <c r="C26">
        <f t="shared" si="0"/>
        <v>8</v>
      </c>
      <c r="D26">
        <f t="shared" si="1"/>
        <v>1.3333333333333333</v>
      </c>
      <c r="E26">
        <f t="shared" si="2"/>
        <v>2</v>
      </c>
      <c r="F26">
        <f t="shared" si="3"/>
        <v>12</v>
      </c>
    </row>
    <row r="27" spans="1:6" x14ac:dyDescent="0.25">
      <c r="A27">
        <v>9</v>
      </c>
      <c r="B27">
        <v>6</v>
      </c>
      <c r="C27">
        <f t="shared" si="0"/>
        <v>15</v>
      </c>
      <c r="D27">
        <f t="shared" si="1"/>
        <v>0.33333333333333331</v>
      </c>
      <c r="E27">
        <f t="shared" si="2"/>
        <v>-4</v>
      </c>
      <c r="F27">
        <f t="shared" si="3"/>
        <v>54</v>
      </c>
    </row>
    <row r="28" spans="1:6" x14ac:dyDescent="0.25">
      <c r="A28">
        <v>9</v>
      </c>
      <c r="B28">
        <v>67</v>
      </c>
      <c r="C28">
        <f t="shared" si="0"/>
        <v>76</v>
      </c>
      <c r="D28">
        <f t="shared" si="1"/>
        <v>0.13432835820895522</v>
      </c>
      <c r="E28">
        <f t="shared" si="2"/>
        <v>-58</v>
      </c>
      <c r="F28">
        <f t="shared" si="3"/>
        <v>603</v>
      </c>
    </row>
    <row r="29" spans="1:6" x14ac:dyDescent="0.25">
      <c r="A29">
        <v>2</v>
      </c>
      <c r="B29">
        <v>7</v>
      </c>
      <c r="C29">
        <f t="shared" si="0"/>
        <v>9</v>
      </c>
      <c r="D29">
        <f t="shared" si="1"/>
        <v>1.2857142857142858</v>
      </c>
      <c r="E29">
        <f t="shared" si="2"/>
        <v>2</v>
      </c>
      <c r="F29">
        <f t="shared" si="3"/>
        <v>14</v>
      </c>
    </row>
    <row r="30" spans="1:6" x14ac:dyDescent="0.25">
      <c r="A30">
        <v>8</v>
      </c>
      <c r="C30">
        <f t="shared" si="0"/>
        <v>8</v>
      </c>
      <c r="D30" t="e">
        <f t="shared" si="1"/>
        <v>#DIV/0!</v>
      </c>
      <c r="E30">
        <f t="shared" si="2"/>
        <v>2</v>
      </c>
      <c r="F30">
        <f t="shared" si="3"/>
        <v>0</v>
      </c>
    </row>
    <row r="31" spans="1:6" x14ac:dyDescent="0.25">
      <c r="A31">
        <v>98</v>
      </c>
      <c r="B31">
        <v>878</v>
      </c>
      <c r="C31">
        <f t="shared" si="0"/>
        <v>976</v>
      </c>
      <c r="D31">
        <f t="shared" si="1"/>
        <v>9.1116173120728925E-3</v>
      </c>
      <c r="E31">
        <f t="shared" si="2"/>
        <v>-870</v>
      </c>
      <c r="F31">
        <f t="shared" si="3"/>
        <v>86044</v>
      </c>
    </row>
    <row r="32" spans="1:6" x14ac:dyDescent="0.25">
      <c r="B32">
        <f xml:space="preserve"> AVERAGE(B2:B31)</f>
        <v>43</v>
      </c>
      <c r="C32">
        <f xml:space="preserve"> SUM(C2:C31)</f>
        <v>1714</v>
      </c>
    </row>
    <row r="35" spans="6:6" x14ac:dyDescent="0.25">
      <c r="F35" t="s">
        <v>17</v>
      </c>
    </row>
  </sheetData>
  <autoFilter ref="A1:F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4" sqref="A4"/>
    </sheetView>
  </sheetViews>
  <sheetFormatPr defaultRowHeight="15" x14ac:dyDescent="0.25"/>
  <cols>
    <col min="1" max="1" width="10.140625" customWidth="1"/>
    <col min="6" max="6" width="10.570312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t="s">
        <v>25</v>
      </c>
      <c r="D2">
        <v>25</v>
      </c>
      <c r="E2">
        <v>20</v>
      </c>
      <c r="F2">
        <v>15</v>
      </c>
    </row>
    <row r="3" spans="1:6" x14ac:dyDescent="0.25">
      <c r="A3" t="s">
        <v>26</v>
      </c>
      <c r="B3" t="s">
        <v>25</v>
      </c>
      <c r="D3">
        <v>40</v>
      </c>
      <c r="E3">
        <v>35</v>
      </c>
      <c r="F3">
        <v>30</v>
      </c>
    </row>
    <row r="4" spans="1:6" x14ac:dyDescent="0.25">
      <c r="A4" t="s">
        <v>27</v>
      </c>
      <c r="B4" t="s">
        <v>25</v>
      </c>
      <c r="D4">
        <v>55</v>
      </c>
      <c r="E4">
        <v>50</v>
      </c>
      <c r="F4">
        <v>45</v>
      </c>
    </row>
    <row r="5" spans="1:6" x14ac:dyDescent="0.25">
      <c r="A5" t="s">
        <v>28</v>
      </c>
      <c r="B5" t="s">
        <v>29</v>
      </c>
      <c r="D5">
        <v>70</v>
      </c>
      <c r="E5">
        <v>80</v>
      </c>
      <c r="F5">
        <v>50</v>
      </c>
    </row>
    <row r="6" spans="1:6" x14ac:dyDescent="0.25">
      <c r="A6" t="s">
        <v>30</v>
      </c>
      <c r="B6" t="s">
        <v>29</v>
      </c>
      <c r="D6">
        <v>80</v>
      </c>
      <c r="E6">
        <v>100</v>
      </c>
      <c r="F6">
        <v>70</v>
      </c>
    </row>
    <row r="7" spans="1:6" x14ac:dyDescent="0.25">
      <c r="A7" t="s">
        <v>31</v>
      </c>
      <c r="B7" t="s">
        <v>29</v>
      </c>
      <c r="D7">
        <v>90</v>
      </c>
      <c r="E7">
        <v>130</v>
      </c>
      <c r="F7">
        <v>80</v>
      </c>
    </row>
    <row r="8" spans="1:6" x14ac:dyDescent="0.25">
      <c r="A8" t="s">
        <v>32</v>
      </c>
      <c r="B8" t="s">
        <v>33</v>
      </c>
      <c r="C8" t="s">
        <v>34</v>
      </c>
      <c r="D8">
        <v>50</v>
      </c>
      <c r="E8">
        <v>75</v>
      </c>
      <c r="F8">
        <v>35</v>
      </c>
    </row>
    <row r="9" spans="1:6" x14ac:dyDescent="0.25">
      <c r="A9" t="s">
        <v>35</v>
      </c>
      <c r="B9" t="s">
        <v>33</v>
      </c>
      <c r="C9" t="s">
        <v>34</v>
      </c>
      <c r="D9">
        <v>65</v>
      </c>
      <c r="E9">
        <v>90</v>
      </c>
      <c r="F9">
        <v>50</v>
      </c>
    </row>
    <row r="10" spans="1:6" x14ac:dyDescent="0.25">
      <c r="A10" t="s">
        <v>36</v>
      </c>
      <c r="B10" t="s">
        <v>33</v>
      </c>
      <c r="C10" t="s">
        <v>34</v>
      </c>
      <c r="D10">
        <v>80</v>
      </c>
      <c r="E10">
        <v>105</v>
      </c>
      <c r="F10">
        <v>65</v>
      </c>
    </row>
    <row r="11" spans="1:6" x14ac:dyDescent="0.25">
      <c r="A11" t="s">
        <v>37</v>
      </c>
      <c r="B11" t="s">
        <v>38</v>
      </c>
      <c r="C11" t="s">
        <v>34</v>
      </c>
      <c r="D11">
        <v>40</v>
      </c>
      <c r="E11">
        <v>40</v>
      </c>
      <c r="F11">
        <v>35</v>
      </c>
    </row>
    <row r="12" spans="1:6" x14ac:dyDescent="0.25">
      <c r="A12" t="s">
        <v>39</v>
      </c>
      <c r="B12" t="s">
        <v>38</v>
      </c>
      <c r="C12" t="s">
        <v>34</v>
      </c>
      <c r="D12">
        <v>80</v>
      </c>
      <c r="E12">
        <v>70</v>
      </c>
      <c r="F12">
        <v>65</v>
      </c>
    </row>
    <row r="13" spans="1:6" x14ac:dyDescent="0.25">
      <c r="A13" t="s">
        <v>40</v>
      </c>
      <c r="B13" t="s">
        <v>41</v>
      </c>
      <c r="C13" t="s">
        <v>42</v>
      </c>
      <c r="D13">
        <v>40</v>
      </c>
      <c r="E13">
        <v>80</v>
      </c>
      <c r="F13">
        <v>100</v>
      </c>
    </row>
    <row r="14" spans="1:6" x14ac:dyDescent="0.25">
      <c r="A14" t="s">
        <v>43</v>
      </c>
      <c r="B14" t="s">
        <v>41</v>
      </c>
      <c r="C14" t="s">
        <v>42</v>
      </c>
      <c r="D14">
        <v>55</v>
      </c>
      <c r="E14">
        <v>95</v>
      </c>
      <c r="F14">
        <v>115</v>
      </c>
    </row>
    <row r="15" spans="1:6" x14ac:dyDescent="0.25">
      <c r="A15" t="s">
        <v>44</v>
      </c>
      <c r="B15" t="s">
        <v>41</v>
      </c>
      <c r="C15" t="s">
        <v>42</v>
      </c>
      <c r="D15">
        <v>80</v>
      </c>
      <c r="E15">
        <v>120</v>
      </c>
      <c r="F15">
        <v>130</v>
      </c>
    </row>
    <row r="16" spans="1:6" x14ac:dyDescent="0.25">
      <c r="A16" t="s">
        <v>45</v>
      </c>
      <c r="B16" t="s">
        <v>46</v>
      </c>
      <c r="D16">
        <v>50</v>
      </c>
      <c r="E16">
        <v>85</v>
      </c>
      <c r="F16">
        <v>55</v>
      </c>
    </row>
    <row r="17" spans="1:6" x14ac:dyDescent="0.25">
      <c r="A17" t="s">
        <v>47</v>
      </c>
      <c r="B17" t="s">
        <v>46</v>
      </c>
      <c r="D17">
        <v>65</v>
      </c>
      <c r="E17">
        <v>100</v>
      </c>
      <c r="F17">
        <v>70</v>
      </c>
    </row>
    <row r="18" spans="1:6" x14ac:dyDescent="0.25">
      <c r="A18" t="s">
        <v>48</v>
      </c>
      <c r="B18" t="s">
        <v>38</v>
      </c>
      <c r="C18" t="s">
        <v>25</v>
      </c>
      <c r="D18">
        <v>90</v>
      </c>
      <c r="E18">
        <v>65</v>
      </c>
      <c r="F18">
        <v>65</v>
      </c>
    </row>
    <row r="19" spans="1:6" x14ac:dyDescent="0.25">
      <c r="A19" t="s">
        <v>49</v>
      </c>
      <c r="B19" t="s">
        <v>38</v>
      </c>
      <c r="C19" t="s">
        <v>25</v>
      </c>
      <c r="D19">
        <v>95</v>
      </c>
      <c r="E19">
        <v>75</v>
      </c>
      <c r="F19">
        <v>110</v>
      </c>
    </row>
    <row r="20" spans="1:6" x14ac:dyDescent="0.25">
      <c r="A20" t="s">
        <v>50</v>
      </c>
      <c r="B20" t="s">
        <v>51</v>
      </c>
      <c r="C20" t="s">
        <v>52</v>
      </c>
      <c r="D20">
        <v>25</v>
      </c>
      <c r="E20">
        <v>35</v>
      </c>
      <c r="F20">
        <v>70</v>
      </c>
    </row>
    <row r="21" spans="1:6" x14ac:dyDescent="0.25">
      <c r="A21" t="s">
        <v>53</v>
      </c>
      <c r="B21" t="s">
        <v>51</v>
      </c>
      <c r="C21" t="s">
        <v>52</v>
      </c>
      <c r="D21">
        <v>50</v>
      </c>
      <c r="E21">
        <v>60</v>
      </c>
      <c r="F21">
        <v>95</v>
      </c>
    </row>
    <row r="22" spans="1:6" x14ac:dyDescent="0.25">
      <c r="A22" t="s">
        <v>54</v>
      </c>
      <c r="B22" t="s">
        <v>55</v>
      </c>
      <c r="C22" t="s">
        <v>56</v>
      </c>
      <c r="D22">
        <v>52</v>
      </c>
      <c r="E22">
        <v>65</v>
      </c>
      <c r="F22">
        <v>55</v>
      </c>
    </row>
    <row r="23" spans="1:6" x14ac:dyDescent="0.25">
      <c r="A23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9" sqref="I9"/>
    </sheetView>
  </sheetViews>
  <sheetFormatPr defaultRowHeight="15" x14ac:dyDescent="0.25"/>
  <cols>
    <col min="1" max="1" width="10.140625" customWidth="1"/>
    <col min="6" max="6" width="10.5703125" customWidth="1"/>
  </cols>
  <sheetData>
    <row r="1" spans="1:6" x14ac:dyDescent="0.25">
      <c r="A1" s="9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1" t="s">
        <v>23</v>
      </c>
    </row>
    <row r="2" spans="1:6" x14ac:dyDescent="0.25">
      <c r="A2" s="12" t="s">
        <v>24</v>
      </c>
      <c r="B2" s="13" t="s">
        <v>25</v>
      </c>
      <c r="C2" s="13"/>
      <c r="D2" s="13">
        <v>25</v>
      </c>
      <c r="E2" s="13">
        <v>20</v>
      </c>
      <c r="F2" s="14">
        <v>15</v>
      </c>
    </row>
    <row r="3" spans="1:6" x14ac:dyDescent="0.25">
      <c r="A3" s="15" t="s">
        <v>24</v>
      </c>
      <c r="B3" s="16" t="s">
        <v>25</v>
      </c>
      <c r="C3" s="16"/>
      <c r="D3" s="16">
        <v>25</v>
      </c>
      <c r="E3" s="16">
        <v>20</v>
      </c>
      <c r="F3" s="17">
        <v>15</v>
      </c>
    </row>
    <row r="4" spans="1:6" x14ac:dyDescent="0.25">
      <c r="A4" s="12" t="s">
        <v>24</v>
      </c>
      <c r="B4" s="13" t="s">
        <v>25</v>
      </c>
      <c r="C4" s="13"/>
      <c r="D4" s="13">
        <v>25</v>
      </c>
      <c r="E4" s="13">
        <v>20</v>
      </c>
      <c r="F4" s="14">
        <v>15</v>
      </c>
    </row>
    <row r="5" spans="1:6" x14ac:dyDescent="0.25">
      <c r="A5" s="15" t="s">
        <v>24</v>
      </c>
      <c r="B5" s="16" t="s">
        <v>25</v>
      </c>
      <c r="C5" s="16"/>
      <c r="D5" s="16">
        <v>25</v>
      </c>
      <c r="E5" s="16">
        <v>20</v>
      </c>
      <c r="F5" s="17">
        <v>15</v>
      </c>
    </row>
    <row r="6" spans="1:6" x14ac:dyDescent="0.25">
      <c r="A6" s="12" t="s">
        <v>26</v>
      </c>
      <c r="B6" s="13" t="s">
        <v>25</v>
      </c>
      <c r="C6" s="13"/>
      <c r="D6" s="13">
        <v>40</v>
      </c>
      <c r="E6" s="13">
        <v>35</v>
      </c>
      <c r="F6" s="14">
        <v>30</v>
      </c>
    </row>
    <row r="7" spans="1:6" x14ac:dyDescent="0.25">
      <c r="A7" s="15" t="s">
        <v>26</v>
      </c>
      <c r="B7" s="16" t="s">
        <v>25</v>
      </c>
      <c r="C7" s="16"/>
      <c r="D7" s="16">
        <v>40</v>
      </c>
      <c r="E7" s="16">
        <v>35</v>
      </c>
      <c r="F7" s="17">
        <v>30</v>
      </c>
    </row>
    <row r="8" spans="1:6" x14ac:dyDescent="0.25">
      <c r="A8" s="12" t="s">
        <v>26</v>
      </c>
      <c r="B8" s="13" t="s">
        <v>25</v>
      </c>
      <c r="C8" s="13"/>
      <c r="D8" s="13">
        <v>40</v>
      </c>
      <c r="E8" s="13">
        <v>35</v>
      </c>
      <c r="F8" s="14">
        <v>30</v>
      </c>
    </row>
    <row r="9" spans="1:6" x14ac:dyDescent="0.25">
      <c r="A9" s="15" t="s">
        <v>26</v>
      </c>
      <c r="B9" s="16" t="s">
        <v>25</v>
      </c>
      <c r="C9" s="16"/>
      <c r="D9" s="16">
        <v>40</v>
      </c>
      <c r="E9" s="16">
        <v>35</v>
      </c>
      <c r="F9" s="17">
        <v>30</v>
      </c>
    </row>
    <row r="10" spans="1:6" x14ac:dyDescent="0.25">
      <c r="A10" s="12" t="s">
        <v>27</v>
      </c>
      <c r="B10" s="13" t="s">
        <v>25</v>
      </c>
      <c r="C10" s="13"/>
      <c r="D10" s="13">
        <v>55</v>
      </c>
      <c r="E10" s="13">
        <v>50</v>
      </c>
      <c r="F10" s="14">
        <v>45</v>
      </c>
    </row>
    <row r="11" spans="1:6" x14ac:dyDescent="0.25">
      <c r="A11" s="15" t="s">
        <v>27</v>
      </c>
      <c r="B11" s="16" t="s">
        <v>25</v>
      </c>
      <c r="C11" s="16"/>
      <c r="D11" s="16">
        <v>55</v>
      </c>
      <c r="E11" s="16">
        <v>50</v>
      </c>
      <c r="F11" s="17">
        <v>45</v>
      </c>
    </row>
    <row r="12" spans="1:6" x14ac:dyDescent="0.25">
      <c r="A12" s="12" t="s">
        <v>27</v>
      </c>
      <c r="B12" s="13" t="s">
        <v>25</v>
      </c>
      <c r="C12" s="13"/>
      <c r="D12" s="13">
        <v>55</v>
      </c>
      <c r="E12" s="13">
        <v>50</v>
      </c>
      <c r="F12" s="14">
        <v>45</v>
      </c>
    </row>
    <row r="13" spans="1:6" x14ac:dyDescent="0.25">
      <c r="A13" s="15" t="s">
        <v>27</v>
      </c>
      <c r="B13" s="16" t="s">
        <v>25</v>
      </c>
      <c r="C13" s="16"/>
      <c r="D13" s="16">
        <v>55</v>
      </c>
      <c r="E13" s="16">
        <v>50</v>
      </c>
      <c r="F13" s="17">
        <v>45</v>
      </c>
    </row>
    <row r="14" spans="1:6" x14ac:dyDescent="0.25">
      <c r="A14" s="6" t="s">
        <v>57</v>
      </c>
      <c r="B14" s="7"/>
      <c r="C14" s="7"/>
      <c r="D14" s="7"/>
      <c r="E14" s="7"/>
      <c r="F1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F11" sqref="F11"/>
    </sheetView>
  </sheetViews>
  <sheetFormatPr defaultRowHeight="15" x14ac:dyDescent="0.25"/>
  <sheetData>
    <row r="1" spans="1:4" x14ac:dyDescent="0.25">
      <c r="A1" t="s">
        <v>15</v>
      </c>
      <c r="B1">
        <v>1</v>
      </c>
      <c r="C1">
        <v>1</v>
      </c>
      <c r="D1">
        <f>1*2</f>
        <v>2</v>
      </c>
    </row>
    <row r="2" spans="1:4" x14ac:dyDescent="0.25">
      <c r="A2" t="s">
        <v>15</v>
      </c>
      <c r="B2">
        <v>1</v>
      </c>
      <c r="C2">
        <v>2</v>
      </c>
    </row>
    <row r="3" spans="1:4" x14ac:dyDescent="0.25">
      <c r="A3" t="s">
        <v>15</v>
      </c>
      <c r="B3">
        <v>1</v>
      </c>
      <c r="C3">
        <v>3</v>
      </c>
    </row>
    <row r="4" spans="1:4" x14ac:dyDescent="0.25">
      <c r="A4" t="s">
        <v>15</v>
      </c>
      <c r="B4">
        <v>1</v>
      </c>
      <c r="C4">
        <v>4</v>
      </c>
    </row>
    <row r="5" spans="1:4" x14ac:dyDescent="0.25">
      <c r="A5" t="s">
        <v>15</v>
      </c>
      <c r="B5">
        <v>1</v>
      </c>
      <c r="C5">
        <v>5</v>
      </c>
    </row>
    <row r="6" spans="1:4" x14ac:dyDescent="0.25">
      <c r="A6" t="s">
        <v>15</v>
      </c>
      <c r="B6">
        <v>1</v>
      </c>
      <c r="C6">
        <v>6</v>
      </c>
    </row>
    <row r="7" spans="1:4" x14ac:dyDescent="0.25">
      <c r="A7" t="s">
        <v>15</v>
      </c>
      <c r="B7">
        <v>1</v>
      </c>
      <c r="C7">
        <v>7</v>
      </c>
    </row>
    <row r="8" spans="1:4" x14ac:dyDescent="0.25">
      <c r="A8" t="s">
        <v>15</v>
      </c>
      <c r="B8">
        <v>1</v>
      </c>
      <c r="C8">
        <v>8</v>
      </c>
    </row>
    <row r="9" spans="1:4" x14ac:dyDescent="0.25">
      <c r="A9" t="s">
        <v>15</v>
      </c>
      <c r="B9">
        <v>1</v>
      </c>
      <c r="C9">
        <v>9</v>
      </c>
    </row>
    <row r="10" spans="1:4" x14ac:dyDescent="0.25">
      <c r="A10" t="s">
        <v>15</v>
      </c>
      <c r="B10">
        <v>1</v>
      </c>
      <c r="C10">
        <v>10</v>
      </c>
    </row>
    <row r="11" spans="1:4" x14ac:dyDescent="0.25">
      <c r="A11" t="s">
        <v>15</v>
      </c>
      <c r="B11">
        <v>1</v>
      </c>
      <c r="C11">
        <v>11</v>
      </c>
    </row>
    <row r="12" spans="1:4" x14ac:dyDescent="0.25">
      <c r="A12" t="s">
        <v>15</v>
      </c>
      <c r="B12">
        <v>1</v>
      </c>
      <c r="C12">
        <v>12</v>
      </c>
    </row>
    <row r="13" spans="1:4" x14ac:dyDescent="0.25">
      <c r="A13" t="s">
        <v>15</v>
      </c>
      <c r="B13">
        <v>1</v>
      </c>
      <c r="C13">
        <v>13</v>
      </c>
    </row>
    <row r="14" spans="1:4" x14ac:dyDescent="0.25">
      <c r="A14" t="s">
        <v>15</v>
      </c>
      <c r="B14">
        <v>1</v>
      </c>
      <c r="C14">
        <v>14</v>
      </c>
    </row>
    <row r="15" spans="1:4" x14ac:dyDescent="0.25">
      <c r="A15" t="s">
        <v>15</v>
      </c>
      <c r="B15">
        <v>1</v>
      </c>
      <c r="C15">
        <v>15</v>
      </c>
    </row>
    <row r="16" spans="1:4" x14ac:dyDescent="0.25">
      <c r="A16" t="s">
        <v>15</v>
      </c>
      <c r="B16">
        <v>1</v>
      </c>
      <c r="C16">
        <v>16</v>
      </c>
    </row>
    <row r="17" spans="1:4" x14ac:dyDescent="0.25">
      <c r="A17" t="s">
        <v>15</v>
      </c>
      <c r="B17">
        <v>1</v>
      </c>
      <c r="C17">
        <v>17</v>
      </c>
    </row>
    <row r="18" spans="1:4" x14ac:dyDescent="0.25">
      <c r="A18" t="s">
        <v>15</v>
      </c>
      <c r="B18">
        <v>1</v>
      </c>
      <c r="C18">
        <v>18</v>
      </c>
    </row>
    <row r="19" spans="1:4" x14ac:dyDescent="0.25">
      <c r="A19" t="s">
        <v>15</v>
      </c>
      <c r="B19">
        <v>1</v>
      </c>
      <c r="C19">
        <v>19</v>
      </c>
    </row>
    <row r="20" spans="1:4" x14ac:dyDescent="0.25">
      <c r="A20" t="s">
        <v>15</v>
      </c>
      <c r="B20">
        <v>1</v>
      </c>
      <c r="C20">
        <v>20</v>
      </c>
    </row>
    <row r="21" spans="1:4" x14ac:dyDescent="0.25">
      <c r="A21" t="s">
        <v>15</v>
      </c>
      <c r="B21">
        <v>1</v>
      </c>
      <c r="C21">
        <v>21</v>
      </c>
    </row>
    <row r="22" spans="1:4" x14ac:dyDescent="0.25">
      <c r="A22" t="s">
        <v>15</v>
      </c>
      <c r="B22">
        <v>1</v>
      </c>
      <c r="C22">
        <v>22</v>
      </c>
    </row>
    <row r="23" spans="1:4" x14ac:dyDescent="0.25">
      <c r="A23" t="s">
        <v>15</v>
      </c>
      <c r="B23">
        <v>1</v>
      </c>
      <c r="C23">
        <v>23</v>
      </c>
    </row>
    <row r="24" spans="1:4" x14ac:dyDescent="0.25">
      <c r="A24" t="s">
        <v>15</v>
      </c>
      <c r="B24">
        <v>1</v>
      </c>
      <c r="C24">
        <v>24</v>
      </c>
    </row>
    <row r="25" spans="1:4" x14ac:dyDescent="0.25">
      <c r="A25" t="s">
        <v>15</v>
      </c>
      <c r="B25">
        <v>1</v>
      </c>
      <c r="C25">
        <v>25</v>
      </c>
    </row>
    <row r="26" spans="1:4" x14ac:dyDescent="0.25">
      <c r="A26" t="s">
        <v>15</v>
      </c>
      <c r="B26">
        <v>1</v>
      </c>
      <c r="C26">
        <v>26</v>
      </c>
    </row>
    <row r="27" spans="1:4" x14ac:dyDescent="0.25">
      <c r="A27" t="s">
        <v>15</v>
      </c>
      <c r="B27">
        <v>1</v>
      </c>
      <c r="C27">
        <v>27</v>
      </c>
    </row>
    <row r="28" spans="1:4" x14ac:dyDescent="0.25">
      <c r="D28">
        <v>43</v>
      </c>
    </row>
  </sheetData>
  <autoFilter ref="A1:D2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G34" sqref="G34"/>
    </sheetView>
  </sheetViews>
  <sheetFormatPr defaultRowHeight="15" x14ac:dyDescent="0.25"/>
  <cols>
    <col min="1" max="1" width="10.140625" customWidth="1"/>
    <col min="6" max="6" width="10.570312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t="s">
        <v>25</v>
      </c>
      <c r="D2">
        <v>25</v>
      </c>
      <c r="E2">
        <v>20</v>
      </c>
      <c r="F2">
        <v>15</v>
      </c>
    </row>
    <row r="3" spans="1:6" x14ac:dyDescent="0.25">
      <c r="A3" t="s">
        <v>26</v>
      </c>
      <c r="B3" t="s">
        <v>25</v>
      </c>
      <c r="D3">
        <v>40</v>
      </c>
      <c r="E3">
        <v>35</v>
      </c>
      <c r="F3">
        <v>30</v>
      </c>
    </row>
    <row r="4" spans="1:6" x14ac:dyDescent="0.25">
      <c r="A4" t="s">
        <v>27</v>
      </c>
      <c r="B4" t="s">
        <v>25</v>
      </c>
      <c r="D4">
        <v>55</v>
      </c>
      <c r="E4">
        <v>50</v>
      </c>
      <c r="F4">
        <v>45</v>
      </c>
    </row>
    <row r="5" spans="1:6" x14ac:dyDescent="0.25">
      <c r="A5" t="s">
        <v>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H16" sqref="H16"/>
    </sheetView>
  </sheetViews>
  <sheetFormatPr defaultRowHeight="15" x14ac:dyDescent="0.25"/>
  <cols>
    <col min="1" max="1" width="10.140625" customWidth="1"/>
    <col min="6" max="6" width="10.570312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t="s">
        <v>25</v>
      </c>
      <c r="D2">
        <v>25</v>
      </c>
      <c r="E2">
        <v>20</v>
      </c>
      <c r="F2">
        <v>15</v>
      </c>
    </row>
    <row r="3" spans="1:6" x14ac:dyDescent="0.25">
      <c r="A3" t="s">
        <v>26</v>
      </c>
      <c r="B3" t="s">
        <v>25</v>
      </c>
      <c r="D3">
        <v>40</v>
      </c>
      <c r="E3">
        <v>35</v>
      </c>
      <c r="F3">
        <v>30</v>
      </c>
    </row>
    <row r="4" spans="1:6" x14ac:dyDescent="0.25">
      <c r="A4" t="s">
        <v>27</v>
      </c>
      <c r="B4" t="s">
        <v>25</v>
      </c>
      <c r="D4">
        <v>55</v>
      </c>
      <c r="E4">
        <v>50</v>
      </c>
      <c r="F4">
        <v>45</v>
      </c>
    </row>
    <row r="5" spans="1:6" x14ac:dyDescent="0.25">
      <c r="A5" t="s">
        <v>28</v>
      </c>
      <c r="B5" t="s">
        <v>29</v>
      </c>
      <c r="D5">
        <v>70</v>
      </c>
      <c r="E5">
        <v>80</v>
      </c>
      <c r="F5">
        <v>50</v>
      </c>
    </row>
    <row r="6" spans="1:6" x14ac:dyDescent="0.25">
      <c r="A6" t="s">
        <v>30</v>
      </c>
      <c r="B6" t="s">
        <v>29</v>
      </c>
      <c r="D6">
        <v>80</v>
      </c>
      <c r="E6">
        <v>100</v>
      </c>
      <c r="F6">
        <v>70</v>
      </c>
    </row>
    <row r="7" spans="1:6" x14ac:dyDescent="0.25">
      <c r="A7" t="s">
        <v>31</v>
      </c>
      <c r="B7" t="s">
        <v>29</v>
      </c>
      <c r="D7">
        <v>90</v>
      </c>
      <c r="E7">
        <v>130</v>
      </c>
      <c r="F7">
        <v>80</v>
      </c>
    </row>
    <row r="8" spans="1:6" x14ac:dyDescent="0.25">
      <c r="A8" t="s">
        <v>32</v>
      </c>
      <c r="B8" t="s">
        <v>33</v>
      </c>
      <c r="C8" t="s">
        <v>34</v>
      </c>
      <c r="D8">
        <v>50</v>
      </c>
      <c r="E8">
        <v>75</v>
      </c>
      <c r="F8">
        <v>35</v>
      </c>
    </row>
    <row r="9" spans="1:6" x14ac:dyDescent="0.25">
      <c r="A9" t="s">
        <v>35</v>
      </c>
      <c r="B9" t="s">
        <v>33</v>
      </c>
      <c r="C9" t="s">
        <v>34</v>
      </c>
      <c r="D9">
        <v>65</v>
      </c>
      <c r="E9">
        <v>90</v>
      </c>
      <c r="F9">
        <v>50</v>
      </c>
    </row>
    <row r="10" spans="1:6" x14ac:dyDescent="0.25">
      <c r="A10" t="s">
        <v>36</v>
      </c>
      <c r="B10" t="s">
        <v>33</v>
      </c>
      <c r="C10" t="s">
        <v>34</v>
      </c>
      <c r="D10">
        <v>80</v>
      </c>
      <c r="E10">
        <v>105</v>
      </c>
      <c r="F10">
        <v>65</v>
      </c>
    </row>
    <row r="11" spans="1:6" x14ac:dyDescent="0.25">
      <c r="A11" t="s">
        <v>37</v>
      </c>
      <c r="B11" t="s">
        <v>38</v>
      </c>
      <c r="C11" t="s">
        <v>34</v>
      </c>
      <c r="D11">
        <v>40</v>
      </c>
      <c r="E11">
        <v>40</v>
      </c>
      <c r="F11">
        <v>35</v>
      </c>
    </row>
    <row r="12" spans="1:6" x14ac:dyDescent="0.25">
      <c r="A12" t="s">
        <v>39</v>
      </c>
      <c r="B12" t="s">
        <v>38</v>
      </c>
      <c r="C12" t="s">
        <v>34</v>
      </c>
      <c r="D12">
        <v>80</v>
      </c>
      <c r="E12">
        <v>70</v>
      </c>
      <c r="F12">
        <v>65</v>
      </c>
    </row>
    <row r="13" spans="1:6" x14ac:dyDescent="0.25">
      <c r="A13" t="s">
        <v>40</v>
      </c>
      <c r="B13" t="s">
        <v>41</v>
      </c>
      <c r="C13" t="s">
        <v>42</v>
      </c>
      <c r="D13">
        <v>40</v>
      </c>
      <c r="E13">
        <v>80</v>
      </c>
      <c r="F13">
        <v>100</v>
      </c>
    </row>
    <row r="14" spans="1:6" x14ac:dyDescent="0.25">
      <c r="A14" t="s">
        <v>43</v>
      </c>
      <c r="B14" t="s">
        <v>41</v>
      </c>
      <c r="C14" t="s">
        <v>42</v>
      </c>
      <c r="D14">
        <v>55</v>
      </c>
      <c r="E14">
        <v>95</v>
      </c>
      <c r="F14">
        <v>115</v>
      </c>
    </row>
    <row r="15" spans="1:6" x14ac:dyDescent="0.25">
      <c r="A15" t="s">
        <v>44</v>
      </c>
      <c r="B15" t="s">
        <v>41</v>
      </c>
      <c r="C15" t="s">
        <v>42</v>
      </c>
      <c r="D15">
        <v>80</v>
      </c>
      <c r="E15">
        <v>120</v>
      </c>
      <c r="F15">
        <v>130</v>
      </c>
    </row>
    <row r="16" spans="1:6" x14ac:dyDescent="0.25">
      <c r="A16" t="s">
        <v>45</v>
      </c>
      <c r="B16" t="s">
        <v>46</v>
      </c>
      <c r="D16">
        <v>50</v>
      </c>
      <c r="E16">
        <v>85</v>
      </c>
      <c r="F16">
        <v>55</v>
      </c>
    </row>
    <row r="17" spans="1:1" x14ac:dyDescent="0.25">
      <c r="A17" t="s">
        <v>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F13" sqref="F13"/>
    </sheetView>
  </sheetViews>
  <sheetFormatPr defaultRowHeight="15" x14ac:dyDescent="0.25"/>
  <sheetData>
    <row r="1" spans="1:3" x14ac:dyDescent="0.25">
      <c r="A1" t="s">
        <v>59</v>
      </c>
      <c r="B1" t="s">
        <v>19</v>
      </c>
      <c r="C1" t="s">
        <v>60</v>
      </c>
    </row>
    <row r="2" spans="1:3" x14ac:dyDescent="0.25">
      <c r="A2" t="s">
        <v>61</v>
      </c>
      <c r="B2" t="s">
        <v>33</v>
      </c>
      <c r="C2">
        <v>45</v>
      </c>
    </row>
    <row r="3" spans="1:3" x14ac:dyDescent="0.25">
      <c r="A3" t="s">
        <v>62</v>
      </c>
      <c r="B3" t="s">
        <v>33</v>
      </c>
      <c r="C3">
        <v>60</v>
      </c>
    </row>
    <row r="4" spans="1:3" x14ac:dyDescent="0.25">
      <c r="A4" t="s">
        <v>63</v>
      </c>
      <c r="B4" t="s">
        <v>33</v>
      </c>
      <c r="C4">
        <v>80</v>
      </c>
    </row>
    <row r="5" spans="1:3" x14ac:dyDescent="0.25">
      <c r="A5" t="s">
        <v>64</v>
      </c>
      <c r="B5" t="s">
        <v>46</v>
      </c>
      <c r="C5">
        <v>65</v>
      </c>
    </row>
    <row r="6" spans="1:3" x14ac:dyDescent="0.25">
      <c r="A6" t="s">
        <v>65</v>
      </c>
      <c r="B6" t="s">
        <v>46</v>
      </c>
      <c r="C6">
        <v>80</v>
      </c>
    </row>
    <row r="7" spans="1:3" x14ac:dyDescent="0.25">
      <c r="A7" t="s">
        <v>66</v>
      </c>
      <c r="B7" t="s">
        <v>46</v>
      </c>
      <c r="C7">
        <v>100</v>
      </c>
    </row>
    <row r="8" spans="1:3" x14ac:dyDescent="0.25">
      <c r="A8" t="s">
        <v>67</v>
      </c>
      <c r="B8" t="s">
        <v>38</v>
      </c>
      <c r="C8">
        <v>43</v>
      </c>
    </row>
    <row r="9" spans="1:3" x14ac:dyDescent="0.25">
      <c r="A9" t="s">
        <v>68</v>
      </c>
      <c r="B9" t="s">
        <v>38</v>
      </c>
      <c r="C9">
        <v>58</v>
      </c>
    </row>
    <row r="10" spans="1:3" x14ac:dyDescent="0.25">
      <c r="A10" t="s">
        <v>69</v>
      </c>
    </row>
  </sheetData>
  <conditionalFormatting sqref="C2">
    <cfRule type="cellIs" dxfId="1" priority="2" operator="greaterThan">
      <formula>45</formula>
    </cfRule>
  </conditionalFormatting>
  <conditionalFormatting sqref="C2:C9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3" sqref="D3"/>
    </sheetView>
  </sheetViews>
  <sheetFormatPr defaultRowHeight="15" x14ac:dyDescent="0.25"/>
  <cols>
    <col min="4" max="4" width="32.28515625" bestFit="1" customWidth="1"/>
  </cols>
  <sheetData>
    <row r="1" spans="1:4" x14ac:dyDescent="0.25">
      <c r="A1" t="s">
        <v>111</v>
      </c>
      <c r="B1" t="s">
        <v>19</v>
      </c>
      <c r="C1" t="s">
        <v>112</v>
      </c>
      <c r="D1" t="s">
        <v>113</v>
      </c>
    </row>
    <row r="2" spans="1:4" x14ac:dyDescent="0.25">
      <c r="A2" t="s">
        <v>114</v>
      </c>
      <c r="B2" t="s">
        <v>33</v>
      </c>
      <c r="C2">
        <v>318</v>
      </c>
      <c r="D2" t="e">
        <f xml:space="preserve"> IF(B:F34B="Grass","Yes","No")</f>
        <v>#NAME?</v>
      </c>
    </row>
    <row r="3" spans="1:4" x14ac:dyDescent="0.25">
      <c r="A3" t="s">
        <v>115</v>
      </c>
      <c r="B3" t="s">
        <v>33</v>
      </c>
      <c r="C3">
        <v>405</v>
      </c>
      <c r="D3" t="str">
        <f xml:space="preserve"> IF(B:B="Grass","Yes","No")</f>
        <v>Yes</v>
      </c>
    </row>
    <row r="4" spans="1:4" x14ac:dyDescent="0.25">
      <c r="A4" t="s">
        <v>116</v>
      </c>
      <c r="B4" t="s">
        <v>33</v>
      </c>
      <c r="C4">
        <v>525</v>
      </c>
      <c r="D4" t="str">
        <f t="shared" ref="D4:D11" si="0" xml:space="preserve"> IF(B:B="Grass","Yes","No")</f>
        <v>Yes</v>
      </c>
    </row>
    <row r="5" spans="1:4" x14ac:dyDescent="0.25">
      <c r="A5" t="s">
        <v>117</v>
      </c>
      <c r="B5" t="s">
        <v>46</v>
      </c>
      <c r="C5">
        <v>309</v>
      </c>
      <c r="D5" t="str">
        <f t="shared" si="0"/>
        <v>No</v>
      </c>
    </row>
    <row r="6" spans="1:4" x14ac:dyDescent="0.25">
      <c r="A6" t="s">
        <v>118</v>
      </c>
      <c r="B6" t="s">
        <v>46</v>
      </c>
      <c r="C6">
        <v>405</v>
      </c>
      <c r="D6" t="str">
        <f t="shared" si="0"/>
        <v>No</v>
      </c>
    </row>
    <row r="7" spans="1:4" x14ac:dyDescent="0.25">
      <c r="A7" t="s">
        <v>119</v>
      </c>
      <c r="B7" t="s">
        <v>46</v>
      </c>
      <c r="C7">
        <v>534</v>
      </c>
      <c r="D7" t="str">
        <f t="shared" si="0"/>
        <v>No</v>
      </c>
    </row>
    <row r="8" spans="1:4" x14ac:dyDescent="0.25">
      <c r="A8" t="s">
        <v>120</v>
      </c>
      <c r="B8" t="s">
        <v>38</v>
      </c>
      <c r="C8">
        <v>314</v>
      </c>
      <c r="D8" t="str">
        <f t="shared" si="0"/>
        <v>No</v>
      </c>
    </row>
    <row r="9" spans="1:4" x14ac:dyDescent="0.25">
      <c r="A9" t="s">
        <v>121</v>
      </c>
      <c r="B9" t="s">
        <v>38</v>
      </c>
      <c r="C9">
        <v>405</v>
      </c>
      <c r="D9" t="str">
        <f t="shared" si="0"/>
        <v>No</v>
      </c>
    </row>
    <row r="10" spans="1:4" x14ac:dyDescent="0.25">
      <c r="A10" t="s">
        <v>122</v>
      </c>
      <c r="B10" t="s">
        <v>38</v>
      </c>
      <c r="C10">
        <v>530</v>
      </c>
      <c r="D10" t="str">
        <f t="shared" si="0"/>
        <v>No</v>
      </c>
    </row>
    <row r="11" spans="1:4" x14ac:dyDescent="0.25">
      <c r="A11" t="s">
        <v>57</v>
      </c>
      <c r="D11" t="str">
        <f t="shared" si="0"/>
        <v>No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F9" sqref="F9"/>
    </sheetView>
  </sheetViews>
  <sheetFormatPr defaultRowHeight="15" x14ac:dyDescent="0.25"/>
  <cols>
    <col min="4" max="4" width="32.28515625" bestFit="1" customWidth="1"/>
  </cols>
  <sheetData>
    <row r="1" spans="1:4" x14ac:dyDescent="0.25">
      <c r="A1" t="s">
        <v>18</v>
      </c>
      <c r="B1" t="s">
        <v>19</v>
      </c>
      <c r="C1" t="s">
        <v>60</v>
      </c>
      <c r="D1" t="s">
        <v>123</v>
      </c>
    </row>
    <row r="2" spans="1:4" x14ac:dyDescent="0.25">
      <c r="A2" t="s">
        <v>124</v>
      </c>
      <c r="B2" t="s">
        <v>33</v>
      </c>
      <c r="C2">
        <v>45</v>
      </c>
      <c r="D2" t="b">
        <f xml:space="preserve"> AND(B:B="Fire",C:C&gt;70)</f>
        <v>0</v>
      </c>
    </row>
    <row r="3" spans="1:4" x14ac:dyDescent="0.25">
      <c r="A3" t="s">
        <v>125</v>
      </c>
      <c r="B3" t="s">
        <v>33</v>
      </c>
      <c r="C3">
        <v>60</v>
      </c>
      <c r="D3" t="b">
        <f t="shared" ref="D3:D11" si="0" xml:space="preserve"> AND(B:B="Fire",C:C&gt;70)</f>
        <v>0</v>
      </c>
    </row>
    <row r="4" spans="1:4" x14ac:dyDescent="0.25">
      <c r="A4" t="s">
        <v>126</v>
      </c>
      <c r="B4" t="s">
        <v>33</v>
      </c>
      <c r="C4">
        <v>80</v>
      </c>
      <c r="D4" t="b">
        <f t="shared" si="0"/>
        <v>0</v>
      </c>
    </row>
    <row r="5" spans="1:4" x14ac:dyDescent="0.25">
      <c r="A5" t="s">
        <v>127</v>
      </c>
      <c r="B5" t="s">
        <v>46</v>
      </c>
      <c r="C5">
        <v>65</v>
      </c>
      <c r="D5" t="b">
        <f t="shared" si="0"/>
        <v>0</v>
      </c>
    </row>
    <row r="6" spans="1:4" x14ac:dyDescent="0.25">
      <c r="A6" t="s">
        <v>128</v>
      </c>
      <c r="B6" t="s">
        <v>46</v>
      </c>
      <c r="C6">
        <v>80</v>
      </c>
      <c r="D6" t="b">
        <f t="shared" si="0"/>
        <v>1</v>
      </c>
    </row>
    <row r="7" spans="1:4" x14ac:dyDescent="0.25">
      <c r="A7" t="s">
        <v>129</v>
      </c>
      <c r="B7" t="s">
        <v>46</v>
      </c>
      <c r="C7">
        <v>100</v>
      </c>
      <c r="D7" t="b">
        <f t="shared" si="0"/>
        <v>1</v>
      </c>
    </row>
    <row r="8" spans="1:4" x14ac:dyDescent="0.25">
      <c r="A8" t="s">
        <v>130</v>
      </c>
      <c r="B8" t="s">
        <v>38</v>
      </c>
      <c r="C8">
        <v>43</v>
      </c>
      <c r="D8" t="b">
        <f t="shared" si="0"/>
        <v>0</v>
      </c>
    </row>
    <row r="9" spans="1:4" x14ac:dyDescent="0.25">
      <c r="A9" t="s">
        <v>131</v>
      </c>
      <c r="B9" t="s">
        <v>38</v>
      </c>
      <c r="C9">
        <v>58</v>
      </c>
      <c r="D9" t="b">
        <f t="shared" si="0"/>
        <v>0</v>
      </c>
    </row>
    <row r="10" spans="1:4" x14ac:dyDescent="0.25">
      <c r="A10" t="s">
        <v>132</v>
      </c>
      <c r="B10" t="s">
        <v>38</v>
      </c>
      <c r="C10">
        <v>78</v>
      </c>
      <c r="D10" t="b">
        <f t="shared" si="0"/>
        <v>0</v>
      </c>
    </row>
    <row r="11" spans="1:4" x14ac:dyDescent="0.25">
      <c r="A11" t="s">
        <v>69</v>
      </c>
      <c r="D11" t="b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I1" workbookViewId="0">
      <selection activeCell="T1" sqref="T1"/>
    </sheetView>
  </sheetViews>
  <sheetFormatPr defaultRowHeight="15" x14ac:dyDescent="0.25"/>
  <cols>
    <col min="4" max="4" width="10" bestFit="1" customWidth="1"/>
    <col min="5" max="5" width="10" customWidth="1"/>
    <col min="6" max="6" width="14.42578125" bestFit="1" customWidth="1"/>
    <col min="7" max="7" width="9" bestFit="1" customWidth="1"/>
    <col min="8" max="8" width="10" bestFit="1" customWidth="1"/>
    <col min="9" max="9" width="13.42578125" bestFit="1" customWidth="1"/>
    <col min="10" max="10" width="15.42578125" bestFit="1" customWidth="1"/>
    <col min="16" max="16" width="10" bestFit="1" customWidth="1"/>
  </cols>
  <sheetData>
    <row r="1" spans="1:17" x14ac:dyDescent="0.25">
      <c r="A1" t="s">
        <v>18</v>
      </c>
      <c r="B1" t="s">
        <v>19</v>
      </c>
      <c r="C1" t="s">
        <v>20</v>
      </c>
      <c r="D1" t="s">
        <v>145</v>
      </c>
      <c r="F1" s="18" t="s">
        <v>18</v>
      </c>
      <c r="G1" s="18" t="s">
        <v>19</v>
      </c>
      <c r="H1" s="18" t="s">
        <v>145</v>
      </c>
      <c r="I1" s="18" t="s">
        <v>205</v>
      </c>
      <c r="J1" s="18" t="s">
        <v>206</v>
      </c>
      <c r="M1" s="19" t="s">
        <v>18</v>
      </c>
      <c r="N1" s="19" t="s">
        <v>19</v>
      </c>
      <c r="O1" s="19" t="s">
        <v>20</v>
      </c>
      <c r="P1" s="19" t="s">
        <v>145</v>
      </c>
      <c r="Q1" s="19"/>
    </row>
    <row r="2" spans="1:17" x14ac:dyDescent="0.25">
      <c r="A2" t="s">
        <v>146</v>
      </c>
      <c r="B2" t="s">
        <v>29</v>
      </c>
      <c r="D2">
        <v>305</v>
      </c>
      <c r="F2" t="s">
        <v>166</v>
      </c>
      <c r="G2" t="s">
        <v>167</v>
      </c>
      <c r="H2">
        <v>305</v>
      </c>
      <c r="I2" t="str">
        <f>LOWER(F2:F21)</f>
        <v xml:space="preserve">    mankey</v>
      </c>
      <c r="J2" t="str">
        <f>UPPER(I2:I21)</f>
        <v xml:space="preserve">    MANKEY</v>
      </c>
      <c r="M2" t="s">
        <v>146</v>
      </c>
      <c r="N2" t="s">
        <v>29</v>
      </c>
      <c r="P2">
        <v>305</v>
      </c>
    </row>
    <row r="3" spans="1:17" x14ac:dyDescent="0.25">
      <c r="A3" t="s">
        <v>147</v>
      </c>
      <c r="B3" t="s">
        <v>38</v>
      </c>
      <c r="C3" t="s">
        <v>29</v>
      </c>
      <c r="D3">
        <v>510</v>
      </c>
      <c r="F3" t="s">
        <v>168</v>
      </c>
      <c r="G3" t="s">
        <v>169</v>
      </c>
      <c r="H3">
        <v>510</v>
      </c>
      <c r="I3" t="str">
        <f t="shared" ref="I3:I22" si="0">LOWER(F3:F22)</f>
        <v xml:space="preserve">    poliwrath</v>
      </c>
      <c r="J3" t="str">
        <f t="shared" ref="J3:J22" si="1">UPPER(I3:I22)</f>
        <v xml:space="preserve">    POLIWRATH</v>
      </c>
      <c r="M3" t="s">
        <v>147</v>
      </c>
      <c r="N3" t="s">
        <v>38</v>
      </c>
      <c r="O3" t="s">
        <v>29</v>
      </c>
      <c r="P3">
        <v>510</v>
      </c>
    </row>
    <row r="4" spans="1:17" x14ac:dyDescent="0.25">
      <c r="A4" t="s">
        <v>36</v>
      </c>
      <c r="B4" t="s">
        <v>33</v>
      </c>
      <c r="C4" t="s">
        <v>34</v>
      </c>
      <c r="D4">
        <v>490</v>
      </c>
      <c r="F4" t="s">
        <v>170</v>
      </c>
      <c r="G4" t="s">
        <v>171</v>
      </c>
      <c r="H4">
        <v>490</v>
      </c>
      <c r="I4" t="str">
        <f t="shared" si="0"/>
        <v xml:space="preserve">    victreebel</v>
      </c>
      <c r="J4" t="str">
        <f t="shared" si="1"/>
        <v xml:space="preserve">    VICTREEBEL</v>
      </c>
      <c r="M4" t="s">
        <v>36</v>
      </c>
      <c r="N4" t="s">
        <v>33</v>
      </c>
      <c r="O4" t="s">
        <v>34</v>
      </c>
      <c r="P4">
        <v>490</v>
      </c>
    </row>
    <row r="5" spans="1:17" x14ac:dyDescent="0.25">
      <c r="A5" t="s">
        <v>37</v>
      </c>
      <c r="B5" t="s">
        <v>38</v>
      </c>
      <c r="C5" t="s">
        <v>34</v>
      </c>
      <c r="D5">
        <v>335</v>
      </c>
      <c r="F5" t="s">
        <v>172</v>
      </c>
      <c r="G5" t="s">
        <v>173</v>
      </c>
      <c r="H5">
        <v>335</v>
      </c>
      <c r="I5" t="str">
        <f t="shared" si="0"/>
        <v xml:space="preserve">    tentacool</v>
      </c>
      <c r="J5" t="str">
        <f t="shared" si="1"/>
        <v xml:space="preserve">    TENTACOOL</v>
      </c>
      <c r="M5" t="s">
        <v>37</v>
      </c>
      <c r="N5" t="s">
        <v>38</v>
      </c>
      <c r="O5" t="s">
        <v>34</v>
      </c>
      <c r="P5">
        <v>335</v>
      </c>
    </row>
    <row r="6" spans="1:17" x14ac:dyDescent="0.25">
      <c r="A6" t="s">
        <v>53</v>
      </c>
      <c r="B6" t="s">
        <v>51</v>
      </c>
      <c r="C6" t="s">
        <v>52</v>
      </c>
      <c r="D6">
        <v>465</v>
      </c>
      <c r="F6" t="s">
        <v>174</v>
      </c>
      <c r="G6" t="s">
        <v>175</v>
      </c>
      <c r="H6">
        <v>465</v>
      </c>
      <c r="I6" t="str">
        <f t="shared" si="0"/>
        <v xml:space="preserve">    magneton</v>
      </c>
      <c r="J6" t="str">
        <f t="shared" si="1"/>
        <v xml:space="preserve">    MAGNETON</v>
      </c>
      <c r="M6" t="s">
        <v>53</v>
      </c>
      <c r="N6" t="s">
        <v>51</v>
      </c>
      <c r="O6" t="s">
        <v>52</v>
      </c>
      <c r="P6">
        <v>465</v>
      </c>
    </row>
    <row r="7" spans="1:17" x14ac:dyDescent="0.25">
      <c r="A7" t="s">
        <v>148</v>
      </c>
      <c r="B7" t="s">
        <v>38</v>
      </c>
      <c r="C7" t="s">
        <v>149</v>
      </c>
      <c r="D7">
        <v>475</v>
      </c>
      <c r="F7" t="s">
        <v>176</v>
      </c>
      <c r="G7" t="s">
        <v>177</v>
      </c>
      <c r="H7">
        <v>475</v>
      </c>
      <c r="I7" t="str">
        <f t="shared" si="0"/>
        <v xml:space="preserve">    dewgong</v>
      </c>
      <c r="J7" t="str">
        <f t="shared" si="1"/>
        <v xml:space="preserve">    DEWGONG</v>
      </c>
      <c r="M7" t="s">
        <v>148</v>
      </c>
      <c r="N7" t="s">
        <v>38</v>
      </c>
      <c r="O7" t="s">
        <v>149</v>
      </c>
      <c r="P7">
        <v>475</v>
      </c>
    </row>
    <row r="8" spans="1:17" x14ac:dyDescent="0.25">
      <c r="A8" t="s">
        <v>150</v>
      </c>
      <c r="B8" t="s">
        <v>38</v>
      </c>
      <c r="C8" t="s">
        <v>149</v>
      </c>
      <c r="D8">
        <v>525</v>
      </c>
      <c r="F8" t="s">
        <v>178</v>
      </c>
      <c r="G8" t="s">
        <v>179</v>
      </c>
      <c r="H8">
        <v>525</v>
      </c>
      <c r="I8" t="str">
        <f t="shared" si="0"/>
        <v xml:space="preserve">    cloyster</v>
      </c>
      <c r="J8" t="str">
        <f t="shared" si="1"/>
        <v xml:space="preserve">    CLOYSTER</v>
      </c>
      <c r="M8" t="s">
        <v>150</v>
      </c>
      <c r="N8" t="s">
        <v>38</v>
      </c>
      <c r="O8" t="s">
        <v>149</v>
      </c>
      <c r="P8">
        <v>525</v>
      </c>
    </row>
    <row r="9" spans="1:17" x14ac:dyDescent="0.25">
      <c r="A9" t="s">
        <v>151</v>
      </c>
      <c r="B9" t="s">
        <v>41</v>
      </c>
      <c r="C9" t="s">
        <v>42</v>
      </c>
      <c r="D9">
        <v>385</v>
      </c>
      <c r="F9" t="s">
        <v>180</v>
      </c>
      <c r="G9" t="s">
        <v>181</v>
      </c>
      <c r="H9">
        <v>385</v>
      </c>
      <c r="I9" t="str">
        <f t="shared" si="0"/>
        <v xml:space="preserve">    onix</v>
      </c>
      <c r="J9" t="str">
        <f t="shared" si="1"/>
        <v xml:space="preserve">    ONIX</v>
      </c>
      <c r="M9" t="s">
        <v>151</v>
      </c>
      <c r="N9" t="s">
        <v>41</v>
      </c>
      <c r="O9" t="s">
        <v>42</v>
      </c>
      <c r="P9">
        <v>385</v>
      </c>
    </row>
    <row r="10" spans="1:17" x14ac:dyDescent="0.25">
      <c r="A10" t="s">
        <v>152</v>
      </c>
      <c r="B10" t="s">
        <v>153</v>
      </c>
      <c r="D10">
        <v>420</v>
      </c>
      <c r="F10" t="s">
        <v>182</v>
      </c>
      <c r="G10" t="s">
        <v>183</v>
      </c>
      <c r="H10">
        <v>420</v>
      </c>
      <c r="I10" t="str">
        <f t="shared" si="0"/>
        <v xml:space="preserve">    dragonair</v>
      </c>
      <c r="J10" t="str">
        <f t="shared" si="1"/>
        <v xml:space="preserve">    DRAGONAIR</v>
      </c>
      <c r="M10" t="s">
        <v>152</v>
      </c>
      <c r="N10" t="s">
        <v>153</v>
      </c>
      <c r="P10">
        <v>420</v>
      </c>
    </row>
    <row r="11" spans="1:17" x14ac:dyDescent="0.25">
      <c r="A11" t="s">
        <v>154</v>
      </c>
      <c r="B11" t="s">
        <v>55</v>
      </c>
      <c r="C11" t="s">
        <v>56</v>
      </c>
      <c r="D11">
        <v>349</v>
      </c>
      <c r="F11" t="s">
        <v>184</v>
      </c>
      <c r="G11" t="s">
        <v>185</v>
      </c>
      <c r="H11">
        <v>349</v>
      </c>
      <c r="I11" t="str">
        <f t="shared" si="0"/>
        <v xml:space="preserve">    pidgeotto</v>
      </c>
      <c r="J11" t="str">
        <f t="shared" si="1"/>
        <v xml:space="preserve">    PIDGEOTTO</v>
      </c>
      <c r="M11" t="s">
        <v>154</v>
      </c>
      <c r="N11" t="s">
        <v>55</v>
      </c>
      <c r="O11" t="s">
        <v>56</v>
      </c>
      <c r="P11">
        <v>349</v>
      </c>
    </row>
    <row r="12" spans="1:17" x14ac:dyDescent="0.25">
      <c r="A12" t="s">
        <v>155</v>
      </c>
      <c r="B12" t="s">
        <v>55</v>
      </c>
      <c r="D12">
        <v>253</v>
      </c>
      <c r="F12" t="s">
        <v>186</v>
      </c>
      <c r="G12" t="s">
        <v>187</v>
      </c>
      <c r="H12">
        <v>253</v>
      </c>
      <c r="I12" t="str">
        <f t="shared" si="0"/>
        <v xml:space="preserve">    rattata</v>
      </c>
      <c r="J12" t="str">
        <f t="shared" si="1"/>
        <v xml:space="preserve">    RATTATA</v>
      </c>
      <c r="M12" t="s">
        <v>155</v>
      </c>
      <c r="N12" t="s">
        <v>55</v>
      </c>
      <c r="P12">
        <v>253</v>
      </c>
    </row>
    <row r="13" spans="1:17" x14ac:dyDescent="0.25">
      <c r="A13" t="s">
        <v>156</v>
      </c>
      <c r="B13" t="s">
        <v>81</v>
      </c>
      <c r="C13" t="s">
        <v>34</v>
      </c>
      <c r="D13">
        <v>395</v>
      </c>
      <c r="F13" t="s">
        <v>188</v>
      </c>
      <c r="G13" t="s">
        <v>189</v>
      </c>
      <c r="H13">
        <v>395</v>
      </c>
      <c r="I13" t="str">
        <f t="shared" si="0"/>
        <v xml:space="preserve">    beedrill</v>
      </c>
      <c r="J13" t="str">
        <f t="shared" si="1"/>
        <v xml:space="preserve">    BEEDRILL</v>
      </c>
      <c r="M13" t="s">
        <v>156</v>
      </c>
      <c r="N13" t="s">
        <v>81</v>
      </c>
      <c r="O13" t="s">
        <v>34</v>
      </c>
      <c r="P13">
        <v>395</v>
      </c>
    </row>
    <row r="14" spans="1:17" x14ac:dyDescent="0.25">
      <c r="A14" t="s">
        <v>157</v>
      </c>
      <c r="B14" t="s">
        <v>55</v>
      </c>
      <c r="C14" t="s">
        <v>56</v>
      </c>
      <c r="D14">
        <v>310</v>
      </c>
      <c r="F14" t="s">
        <v>190</v>
      </c>
      <c r="G14" t="s">
        <v>191</v>
      </c>
      <c r="H14">
        <v>310</v>
      </c>
      <c r="I14" t="str">
        <f t="shared" si="0"/>
        <v xml:space="preserve">    doduo</v>
      </c>
      <c r="J14" t="str">
        <f t="shared" si="1"/>
        <v xml:space="preserve">    DODUO</v>
      </c>
      <c r="M14" t="s">
        <v>157</v>
      </c>
      <c r="N14" t="s">
        <v>55</v>
      </c>
      <c r="O14" t="s">
        <v>56</v>
      </c>
      <c r="P14">
        <v>310</v>
      </c>
    </row>
    <row r="15" spans="1:17" x14ac:dyDescent="0.25">
      <c r="A15" t="s">
        <v>158</v>
      </c>
      <c r="B15" t="s">
        <v>38</v>
      </c>
      <c r="D15">
        <v>475</v>
      </c>
      <c r="F15" t="s">
        <v>192</v>
      </c>
      <c r="G15" t="s">
        <v>173</v>
      </c>
      <c r="H15">
        <v>475</v>
      </c>
      <c r="I15" t="str">
        <f t="shared" si="0"/>
        <v xml:space="preserve">    kingler</v>
      </c>
      <c r="J15" t="str">
        <f t="shared" si="1"/>
        <v xml:space="preserve">    KINGLER</v>
      </c>
      <c r="M15" t="s">
        <v>158</v>
      </c>
      <c r="N15" t="s">
        <v>38</v>
      </c>
      <c r="P15">
        <v>475</v>
      </c>
    </row>
    <row r="16" spans="1:17" x14ac:dyDescent="0.25">
      <c r="A16" t="s">
        <v>159</v>
      </c>
      <c r="B16" t="s">
        <v>34</v>
      </c>
      <c r="C16" t="s">
        <v>42</v>
      </c>
      <c r="D16">
        <v>505</v>
      </c>
      <c r="F16" t="s">
        <v>193</v>
      </c>
      <c r="G16" t="s">
        <v>194</v>
      </c>
      <c r="H16">
        <v>505</v>
      </c>
      <c r="I16" t="str">
        <f t="shared" si="0"/>
        <v xml:space="preserve">    nidoqueen</v>
      </c>
      <c r="J16" t="str">
        <f t="shared" si="1"/>
        <v xml:space="preserve">    NIDOQUEEN</v>
      </c>
      <c r="M16" t="s">
        <v>159</v>
      </c>
      <c r="N16" t="s">
        <v>34</v>
      </c>
      <c r="O16" t="s">
        <v>42</v>
      </c>
      <c r="P16">
        <v>505</v>
      </c>
    </row>
    <row r="17" spans="1:16" x14ac:dyDescent="0.25">
      <c r="A17" t="s">
        <v>160</v>
      </c>
      <c r="B17" t="s">
        <v>29</v>
      </c>
      <c r="D17">
        <v>455</v>
      </c>
      <c r="F17" t="s">
        <v>195</v>
      </c>
      <c r="G17" t="s">
        <v>196</v>
      </c>
      <c r="H17">
        <v>455</v>
      </c>
      <c r="I17" t="str">
        <f t="shared" si="0"/>
        <v xml:space="preserve">    hitmonchan</v>
      </c>
      <c r="J17" t="str">
        <f t="shared" si="1"/>
        <v xml:space="preserve">    HITMONCHAN</v>
      </c>
      <c r="M17" t="s">
        <v>160</v>
      </c>
      <c r="N17" t="s">
        <v>29</v>
      </c>
      <c r="P17">
        <v>455</v>
      </c>
    </row>
    <row r="18" spans="1:16" x14ac:dyDescent="0.25">
      <c r="A18" t="s">
        <v>161</v>
      </c>
      <c r="B18" t="s">
        <v>46</v>
      </c>
      <c r="D18">
        <v>405</v>
      </c>
      <c r="F18" t="s">
        <v>197</v>
      </c>
      <c r="G18" t="s">
        <v>198</v>
      </c>
      <c r="H18">
        <v>405</v>
      </c>
      <c r="I18" t="str">
        <f t="shared" si="0"/>
        <v xml:space="preserve">    charmeleon</v>
      </c>
      <c r="J18" t="str">
        <f t="shared" si="1"/>
        <v xml:space="preserve">    CHARMELEON</v>
      </c>
      <c r="M18" t="s">
        <v>161</v>
      </c>
      <c r="N18" t="s">
        <v>46</v>
      </c>
      <c r="P18">
        <v>405</v>
      </c>
    </row>
    <row r="19" spans="1:16" x14ac:dyDescent="0.25">
      <c r="A19" t="s">
        <v>162</v>
      </c>
      <c r="B19" t="s">
        <v>34</v>
      </c>
      <c r="D19">
        <v>438</v>
      </c>
      <c r="F19" t="s">
        <v>199</v>
      </c>
      <c r="G19" t="s">
        <v>200</v>
      </c>
      <c r="H19">
        <v>438</v>
      </c>
      <c r="I19" t="str">
        <f t="shared" si="0"/>
        <v xml:space="preserve">    arbok</v>
      </c>
      <c r="J19" t="str">
        <f t="shared" si="1"/>
        <v xml:space="preserve">    ARBOK</v>
      </c>
      <c r="M19" t="s">
        <v>162</v>
      </c>
      <c r="N19" t="s">
        <v>34</v>
      </c>
      <c r="P19">
        <v>438</v>
      </c>
    </row>
    <row r="20" spans="1:16" x14ac:dyDescent="0.25">
      <c r="A20" t="s">
        <v>163</v>
      </c>
      <c r="B20" t="s">
        <v>164</v>
      </c>
      <c r="C20" t="s">
        <v>34</v>
      </c>
      <c r="D20">
        <v>310</v>
      </c>
      <c r="F20" t="s">
        <v>201</v>
      </c>
      <c r="G20" t="s">
        <v>202</v>
      </c>
      <c r="H20">
        <v>310</v>
      </c>
      <c r="I20" t="str">
        <f t="shared" si="0"/>
        <v xml:space="preserve">    gastly</v>
      </c>
      <c r="J20" t="str">
        <f t="shared" si="1"/>
        <v xml:space="preserve">    GASTLY</v>
      </c>
      <c r="M20" t="s">
        <v>163</v>
      </c>
      <c r="N20" t="s">
        <v>164</v>
      </c>
      <c r="O20" t="s">
        <v>34</v>
      </c>
      <c r="P20">
        <v>310</v>
      </c>
    </row>
    <row r="21" spans="1:16" x14ac:dyDescent="0.25">
      <c r="A21" t="s">
        <v>165</v>
      </c>
      <c r="B21" t="s">
        <v>38</v>
      </c>
      <c r="D21">
        <v>200</v>
      </c>
      <c r="F21" t="s">
        <v>203</v>
      </c>
      <c r="G21" t="s">
        <v>204</v>
      </c>
      <c r="H21">
        <v>200</v>
      </c>
      <c r="I21" t="str">
        <f t="shared" si="0"/>
        <v xml:space="preserve">    magikarp</v>
      </c>
      <c r="J21" t="str">
        <f t="shared" si="1"/>
        <v xml:space="preserve">    MAGIKARP</v>
      </c>
      <c r="M21" t="s">
        <v>165</v>
      </c>
      <c r="N21" t="s">
        <v>38</v>
      </c>
      <c r="P21">
        <v>200</v>
      </c>
    </row>
    <row r="22" spans="1:16" x14ac:dyDescent="0.25">
      <c r="A22" t="s">
        <v>69</v>
      </c>
      <c r="D22">
        <f>COUNT(D2:D21)</f>
        <v>20</v>
      </c>
      <c r="F22" t="s">
        <v>69</v>
      </c>
      <c r="I22" t="str">
        <f t="shared" si="0"/>
        <v xml:space="preserve">    </v>
      </c>
      <c r="J22" t="str">
        <f t="shared" si="1"/>
        <v xml:space="preserve">    </v>
      </c>
      <c r="M22" t="s">
        <v>69</v>
      </c>
      <c r="P22">
        <f>MAX(P2:P21)</f>
        <v>525</v>
      </c>
    </row>
    <row r="24" spans="1:16" x14ac:dyDescent="0.25">
      <c r="N24" t="s">
        <v>207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J18" sqref="J18"/>
    </sheetView>
  </sheetViews>
  <sheetFormatPr defaultRowHeight="15" x14ac:dyDescent="0.25"/>
  <cols>
    <col min="2" max="2" width="8.7109375" bestFit="1" customWidth="1"/>
    <col min="3" max="3" width="9.5703125" bestFit="1" customWidth="1"/>
    <col min="4" max="4" width="8.5703125" bestFit="1" customWidth="1"/>
    <col min="5" max="5" width="10.85546875" bestFit="1" customWidth="1"/>
    <col min="6" max="6" width="8.28515625" bestFit="1" customWidth="1"/>
  </cols>
  <sheetData>
    <row r="1" spans="1: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208</v>
      </c>
      <c r="H1" t="s">
        <v>209</v>
      </c>
    </row>
    <row r="2" spans="1:8" x14ac:dyDescent="0.25">
      <c r="A2" t="s">
        <v>139</v>
      </c>
      <c r="B2">
        <v>10</v>
      </c>
      <c r="C2">
        <v>4</v>
      </c>
      <c r="D2">
        <v>1</v>
      </c>
      <c r="E2">
        <v>1</v>
      </c>
      <c r="F2">
        <f>AVERAGE(B2:E2)</f>
        <v>4</v>
      </c>
      <c r="G2">
        <f>MIN(B2:F2)</f>
        <v>1</v>
      </c>
      <c r="H2">
        <f>MEDIAN(B2:F2)</f>
        <v>4</v>
      </c>
    </row>
    <row r="3" spans="1:8" x14ac:dyDescent="0.25">
      <c r="A3" t="s">
        <v>140</v>
      </c>
      <c r="B3">
        <v>12</v>
      </c>
      <c r="C3">
        <v>3</v>
      </c>
      <c r="D3">
        <v>0</v>
      </c>
      <c r="E3">
        <v>1</v>
      </c>
      <c r="F3">
        <f t="shared" ref="F3:F8" si="0">AVERAGE(B3:E3)</f>
        <v>4</v>
      </c>
      <c r="G3">
        <f t="shared" ref="G3:G7" si="1">MIN(B3:F3)</f>
        <v>0</v>
      </c>
      <c r="H3">
        <f t="shared" ref="H3:H7" si="2">MEDIAN(B3:F3)</f>
        <v>3</v>
      </c>
    </row>
    <row r="4" spans="1:8" x14ac:dyDescent="0.25">
      <c r="A4" t="s">
        <v>141</v>
      </c>
      <c r="B4">
        <v>15</v>
      </c>
      <c r="C4">
        <v>1</v>
      </c>
      <c r="D4">
        <v>3</v>
      </c>
      <c r="E4">
        <v>1</v>
      </c>
      <c r="F4">
        <f t="shared" si="0"/>
        <v>5</v>
      </c>
      <c r="G4">
        <f t="shared" si="1"/>
        <v>1</v>
      </c>
      <c r="H4">
        <f t="shared" si="2"/>
        <v>3</v>
      </c>
    </row>
    <row r="5" spans="1:8" x14ac:dyDescent="0.25">
      <c r="A5" t="s">
        <v>142</v>
      </c>
      <c r="B5">
        <v>4</v>
      </c>
      <c r="C5">
        <v>2</v>
      </c>
      <c r="D5">
        <v>6</v>
      </c>
      <c r="E5">
        <v>0</v>
      </c>
      <c r="F5">
        <f t="shared" si="0"/>
        <v>3</v>
      </c>
      <c r="G5">
        <f t="shared" si="1"/>
        <v>0</v>
      </c>
      <c r="H5">
        <f t="shared" si="2"/>
        <v>3</v>
      </c>
    </row>
    <row r="6" spans="1:8" x14ac:dyDescent="0.25">
      <c r="A6" t="s">
        <v>143</v>
      </c>
      <c r="B6">
        <v>10</v>
      </c>
      <c r="C6">
        <v>4</v>
      </c>
      <c r="D6">
        <v>1</v>
      </c>
      <c r="E6">
        <v>1</v>
      </c>
      <c r="F6">
        <f t="shared" si="0"/>
        <v>4</v>
      </c>
      <c r="G6">
        <f t="shared" si="1"/>
        <v>1</v>
      </c>
      <c r="H6">
        <f t="shared" si="2"/>
        <v>4</v>
      </c>
    </row>
    <row r="7" spans="1:8" x14ac:dyDescent="0.25">
      <c r="A7" t="s">
        <v>144</v>
      </c>
      <c r="B7">
        <v>9</v>
      </c>
      <c r="C7">
        <v>2</v>
      </c>
      <c r="D7">
        <v>1</v>
      </c>
      <c r="E7">
        <v>0</v>
      </c>
      <c r="F7">
        <f t="shared" si="0"/>
        <v>3</v>
      </c>
      <c r="G7">
        <f t="shared" si="1"/>
        <v>0</v>
      </c>
      <c r="H7">
        <f t="shared" si="2"/>
        <v>2</v>
      </c>
    </row>
    <row r="8" spans="1:8" x14ac:dyDescent="0.25">
      <c r="A8" t="s">
        <v>69</v>
      </c>
      <c r="B8">
        <f>AVERAGE(B2:B7)</f>
        <v>10</v>
      </c>
      <c r="F8">
        <f t="shared" si="0"/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G6" sqref="G6"/>
    </sheetView>
  </sheetViews>
  <sheetFormatPr defaultRowHeight="15" x14ac:dyDescent="0.25"/>
  <cols>
    <col min="1" max="1" width="13.28515625" bestFit="1" customWidth="1"/>
    <col min="2" max="2" width="7.5703125" bestFit="1" customWidth="1"/>
  </cols>
  <sheetData>
    <row r="1" spans="1:8" x14ac:dyDescent="0.25">
      <c r="A1" t="s">
        <v>59</v>
      </c>
      <c r="B1" t="s">
        <v>19</v>
      </c>
      <c r="C1" t="s">
        <v>21</v>
      </c>
      <c r="D1" t="s">
        <v>22</v>
      </c>
      <c r="E1" t="s">
        <v>23</v>
      </c>
      <c r="F1" t="s">
        <v>70</v>
      </c>
      <c r="G1" t="s">
        <v>71</v>
      </c>
      <c r="H1" t="s">
        <v>60</v>
      </c>
    </row>
    <row r="2" spans="1:8" x14ac:dyDescent="0.25">
      <c r="A2" t="s">
        <v>72</v>
      </c>
      <c r="B2" t="s">
        <v>38</v>
      </c>
      <c r="C2">
        <v>20</v>
      </c>
      <c r="D2">
        <v>10</v>
      </c>
      <c r="E2">
        <v>55</v>
      </c>
      <c r="F2">
        <v>15</v>
      </c>
      <c r="G2">
        <v>20</v>
      </c>
      <c r="H2">
        <v>80</v>
      </c>
    </row>
    <row r="3" spans="1:8" x14ac:dyDescent="0.25">
      <c r="A3" t="s">
        <v>73</v>
      </c>
      <c r="B3" t="s">
        <v>38</v>
      </c>
      <c r="C3">
        <v>95</v>
      </c>
      <c r="D3">
        <v>125</v>
      </c>
      <c r="E3">
        <v>79</v>
      </c>
      <c r="F3">
        <v>60</v>
      </c>
      <c r="G3">
        <v>100</v>
      </c>
      <c r="H3">
        <v>81</v>
      </c>
    </row>
    <row r="4" spans="1:8" x14ac:dyDescent="0.25">
      <c r="A4" t="s">
        <v>74</v>
      </c>
      <c r="B4" t="s">
        <v>38</v>
      </c>
      <c r="C4">
        <v>130</v>
      </c>
      <c r="D4">
        <v>85</v>
      </c>
      <c r="E4">
        <v>80</v>
      </c>
      <c r="F4">
        <v>85</v>
      </c>
      <c r="G4">
        <v>95</v>
      </c>
      <c r="H4">
        <v>60</v>
      </c>
    </row>
    <row r="5" spans="1:8" x14ac:dyDescent="0.25">
      <c r="A5" t="s">
        <v>75</v>
      </c>
      <c r="B5" t="s">
        <v>55</v>
      </c>
      <c r="C5">
        <v>48</v>
      </c>
      <c r="D5">
        <v>48</v>
      </c>
      <c r="E5">
        <v>48</v>
      </c>
      <c r="F5">
        <v>48</v>
      </c>
      <c r="G5">
        <v>48</v>
      </c>
      <c r="H5">
        <v>48</v>
      </c>
    </row>
    <row r="6" spans="1:8" x14ac:dyDescent="0.25">
      <c r="A6" t="s">
        <v>76</v>
      </c>
      <c r="B6" t="s">
        <v>55</v>
      </c>
      <c r="C6">
        <v>55</v>
      </c>
      <c r="D6">
        <v>55</v>
      </c>
      <c r="E6">
        <v>50</v>
      </c>
      <c r="F6">
        <v>45</v>
      </c>
      <c r="G6">
        <v>65</v>
      </c>
      <c r="H6">
        <v>55</v>
      </c>
    </row>
    <row r="7" spans="1:8" x14ac:dyDescent="0.25">
      <c r="A7" t="s">
        <v>77</v>
      </c>
      <c r="B7" t="s">
        <v>38</v>
      </c>
      <c r="C7">
        <v>130</v>
      </c>
      <c r="D7">
        <v>65</v>
      </c>
      <c r="E7">
        <v>60</v>
      </c>
      <c r="F7">
        <v>110</v>
      </c>
      <c r="G7">
        <v>95</v>
      </c>
      <c r="H7">
        <v>65</v>
      </c>
    </row>
    <row r="8" spans="1:8" x14ac:dyDescent="0.25">
      <c r="A8" t="s">
        <v>78</v>
      </c>
      <c r="B8" t="s">
        <v>51</v>
      </c>
      <c r="C8">
        <v>65</v>
      </c>
      <c r="D8">
        <v>65</v>
      </c>
      <c r="E8">
        <v>60</v>
      </c>
      <c r="F8">
        <v>110</v>
      </c>
      <c r="G8">
        <v>95</v>
      </c>
      <c r="H8">
        <v>130</v>
      </c>
    </row>
    <row r="9" spans="1:8" x14ac:dyDescent="0.25">
      <c r="A9" t="s">
        <v>69</v>
      </c>
    </row>
  </sheetData>
  <conditionalFormatting sqref="E2:H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I12" sqref="I12"/>
    </sheetView>
  </sheetViews>
  <sheetFormatPr defaultRowHeight="15" x14ac:dyDescent="0.25"/>
  <sheetData>
    <row r="1" spans="1:3" x14ac:dyDescent="0.25">
      <c r="A1" t="s">
        <v>59</v>
      </c>
      <c r="B1" t="s">
        <v>19</v>
      </c>
      <c r="C1" t="s">
        <v>60</v>
      </c>
    </row>
    <row r="2" spans="1:3" x14ac:dyDescent="0.25">
      <c r="A2" t="s">
        <v>102</v>
      </c>
      <c r="B2" t="s">
        <v>41</v>
      </c>
      <c r="C2">
        <v>70</v>
      </c>
    </row>
    <row r="3" spans="1:3" x14ac:dyDescent="0.25">
      <c r="A3" t="s">
        <v>103</v>
      </c>
      <c r="B3" t="s">
        <v>25</v>
      </c>
      <c r="C3">
        <v>42</v>
      </c>
    </row>
    <row r="4" spans="1:3" x14ac:dyDescent="0.25">
      <c r="A4" t="s">
        <v>104</v>
      </c>
      <c r="B4" t="s">
        <v>25</v>
      </c>
      <c r="C4">
        <v>67</v>
      </c>
    </row>
    <row r="5" spans="1:3" x14ac:dyDescent="0.25">
      <c r="A5" t="s">
        <v>105</v>
      </c>
      <c r="B5" t="s">
        <v>38</v>
      </c>
      <c r="C5">
        <v>50</v>
      </c>
    </row>
    <row r="6" spans="1:3" x14ac:dyDescent="0.25">
      <c r="A6" t="s">
        <v>106</v>
      </c>
      <c r="B6" t="s">
        <v>38</v>
      </c>
      <c r="C6">
        <v>75</v>
      </c>
    </row>
    <row r="7" spans="1:3" x14ac:dyDescent="0.25">
      <c r="A7" t="s">
        <v>107</v>
      </c>
      <c r="B7" t="s">
        <v>51</v>
      </c>
      <c r="C7">
        <v>100</v>
      </c>
    </row>
    <row r="8" spans="1:3" x14ac:dyDescent="0.25">
      <c r="A8" t="s">
        <v>108</v>
      </c>
      <c r="B8" t="s">
        <v>51</v>
      </c>
      <c r="C8">
        <v>140</v>
      </c>
    </row>
    <row r="9" spans="1:3" x14ac:dyDescent="0.25">
      <c r="A9" t="s">
        <v>109</v>
      </c>
      <c r="B9" t="s">
        <v>33</v>
      </c>
      <c r="C9">
        <v>40</v>
      </c>
    </row>
    <row r="10" spans="1:3" x14ac:dyDescent="0.25">
      <c r="A10" t="s">
        <v>110</v>
      </c>
      <c r="B10" t="s">
        <v>33</v>
      </c>
      <c r="C10">
        <v>55</v>
      </c>
    </row>
    <row r="11" spans="1:3" x14ac:dyDescent="0.25">
      <c r="A11" t="s">
        <v>69</v>
      </c>
    </row>
  </sheetData>
  <conditionalFormatting sqref="C1:C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{1F9049D3-CBA8-491F-83C7-0D7D99B8570C}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9049D3-CBA8-491F-83C7-0D7D99B85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G14" sqref="G14"/>
    </sheetView>
  </sheetViews>
  <sheetFormatPr defaultRowHeight="15" x14ac:dyDescent="0.25"/>
  <sheetData>
    <row r="1" spans="1:3" x14ac:dyDescent="0.25">
      <c r="A1" t="s">
        <v>59</v>
      </c>
      <c r="B1" t="s">
        <v>19</v>
      </c>
      <c r="C1" t="s">
        <v>60</v>
      </c>
    </row>
    <row r="2" spans="1:3" x14ac:dyDescent="0.25">
      <c r="A2" t="s">
        <v>61</v>
      </c>
      <c r="B2" t="s">
        <v>33</v>
      </c>
      <c r="C2">
        <v>45</v>
      </c>
    </row>
    <row r="3" spans="1:3" x14ac:dyDescent="0.25">
      <c r="A3" t="s">
        <v>62</v>
      </c>
      <c r="B3" t="s">
        <v>33</v>
      </c>
      <c r="C3">
        <v>60</v>
      </c>
    </row>
    <row r="4" spans="1:3" x14ac:dyDescent="0.25">
      <c r="A4" t="s">
        <v>63</v>
      </c>
      <c r="B4" t="s">
        <v>33</v>
      </c>
      <c r="C4">
        <v>80</v>
      </c>
    </row>
    <row r="5" spans="1:3" x14ac:dyDescent="0.25">
      <c r="A5" t="s">
        <v>64</v>
      </c>
      <c r="B5" t="s">
        <v>46</v>
      </c>
      <c r="C5">
        <v>65</v>
      </c>
    </row>
    <row r="6" spans="1:3" x14ac:dyDescent="0.25">
      <c r="A6" t="s">
        <v>65</v>
      </c>
      <c r="B6" t="s">
        <v>46</v>
      </c>
      <c r="C6">
        <v>80</v>
      </c>
    </row>
    <row r="7" spans="1:3" x14ac:dyDescent="0.25">
      <c r="A7" t="s">
        <v>66</v>
      </c>
      <c r="B7" t="s">
        <v>46</v>
      </c>
      <c r="C7">
        <v>100</v>
      </c>
    </row>
    <row r="8" spans="1:3" x14ac:dyDescent="0.25">
      <c r="A8" t="s">
        <v>67</v>
      </c>
      <c r="B8" t="s">
        <v>38</v>
      </c>
      <c r="C8">
        <v>43</v>
      </c>
    </row>
    <row r="9" spans="1:3" x14ac:dyDescent="0.25">
      <c r="A9" t="s">
        <v>68</v>
      </c>
      <c r="B9" t="s">
        <v>38</v>
      </c>
      <c r="C9">
        <v>58</v>
      </c>
    </row>
    <row r="10" spans="1:3" x14ac:dyDescent="0.25">
      <c r="A10" t="s">
        <v>79</v>
      </c>
      <c r="B10" t="s">
        <v>38</v>
      </c>
      <c r="C10">
        <v>78</v>
      </c>
    </row>
    <row r="11" spans="1:3" x14ac:dyDescent="0.25">
      <c r="A11" t="s">
        <v>80</v>
      </c>
      <c r="B11" t="s">
        <v>81</v>
      </c>
      <c r="C11">
        <v>45</v>
      </c>
    </row>
    <row r="12" spans="1:3" x14ac:dyDescent="0.25">
      <c r="A12" t="s">
        <v>82</v>
      </c>
      <c r="B12" t="s">
        <v>81</v>
      </c>
      <c r="C12">
        <v>30</v>
      </c>
    </row>
    <row r="13" spans="1:3" x14ac:dyDescent="0.25">
      <c r="A13" t="s">
        <v>83</v>
      </c>
      <c r="B13" t="s">
        <v>81</v>
      </c>
      <c r="C13">
        <v>70</v>
      </c>
    </row>
    <row r="14" spans="1:3" x14ac:dyDescent="0.25">
      <c r="A14" t="s">
        <v>84</v>
      </c>
      <c r="B14" t="s">
        <v>81</v>
      </c>
      <c r="C14">
        <v>50</v>
      </c>
    </row>
    <row r="15" spans="1:3" x14ac:dyDescent="0.25">
      <c r="A15" t="s">
        <v>85</v>
      </c>
      <c r="B15" t="s">
        <v>81</v>
      </c>
      <c r="C15">
        <v>35</v>
      </c>
    </row>
    <row r="16" spans="1:3" x14ac:dyDescent="0.25">
      <c r="A16" t="s">
        <v>86</v>
      </c>
      <c r="B16" t="s">
        <v>81</v>
      </c>
      <c r="C16">
        <v>75</v>
      </c>
    </row>
    <row r="17" spans="1:3" x14ac:dyDescent="0.25">
      <c r="A17" t="s">
        <v>87</v>
      </c>
      <c r="B17" t="s">
        <v>55</v>
      </c>
      <c r="C17">
        <v>56</v>
      </c>
    </row>
    <row r="18" spans="1:3" x14ac:dyDescent="0.25">
      <c r="A18" t="s">
        <v>88</v>
      </c>
      <c r="B18" t="s">
        <v>55</v>
      </c>
      <c r="C18">
        <v>71</v>
      </c>
    </row>
    <row r="19" spans="1:3" x14ac:dyDescent="0.25">
      <c r="A19" t="s">
        <v>89</v>
      </c>
      <c r="B19" t="s">
        <v>55</v>
      </c>
      <c r="C19">
        <v>101</v>
      </c>
    </row>
    <row r="20" spans="1:3" x14ac:dyDescent="0.25">
      <c r="A20" t="s">
        <v>90</v>
      </c>
      <c r="B20" t="s">
        <v>55</v>
      </c>
      <c r="C20">
        <v>72</v>
      </c>
    </row>
    <row r="21" spans="1:3" x14ac:dyDescent="0.25">
      <c r="A21" t="s">
        <v>91</v>
      </c>
      <c r="B21" t="s">
        <v>55</v>
      </c>
      <c r="C21">
        <v>97</v>
      </c>
    </row>
    <row r="22" spans="1:3" x14ac:dyDescent="0.25">
      <c r="A22" t="s">
        <v>92</v>
      </c>
      <c r="B22" t="s">
        <v>55</v>
      </c>
      <c r="C22">
        <v>70</v>
      </c>
    </row>
    <row r="23" spans="1:3" x14ac:dyDescent="0.25">
      <c r="A23" t="s">
        <v>93</v>
      </c>
      <c r="B23" t="s">
        <v>55</v>
      </c>
      <c r="C23">
        <v>100</v>
      </c>
    </row>
    <row r="24" spans="1:3" x14ac:dyDescent="0.25">
      <c r="A24" t="s">
        <v>94</v>
      </c>
      <c r="B24" t="s">
        <v>34</v>
      </c>
      <c r="C24">
        <v>55</v>
      </c>
    </row>
    <row r="25" spans="1:3" x14ac:dyDescent="0.25">
      <c r="A25" t="s">
        <v>95</v>
      </c>
      <c r="B25" t="s">
        <v>34</v>
      </c>
      <c r="C25">
        <v>80</v>
      </c>
    </row>
    <row r="26" spans="1:3" x14ac:dyDescent="0.25">
      <c r="A26" t="s">
        <v>96</v>
      </c>
      <c r="B26" t="s">
        <v>51</v>
      </c>
      <c r="C26">
        <v>90</v>
      </c>
    </row>
    <row r="27" spans="1:3" x14ac:dyDescent="0.25">
      <c r="A27" t="s">
        <v>97</v>
      </c>
      <c r="B27" t="s">
        <v>51</v>
      </c>
      <c r="C27">
        <v>110</v>
      </c>
    </row>
    <row r="28" spans="1:3" x14ac:dyDescent="0.25">
      <c r="A28" t="s">
        <v>98</v>
      </c>
      <c r="B28" t="s">
        <v>42</v>
      </c>
      <c r="C28">
        <v>40</v>
      </c>
    </row>
    <row r="29" spans="1:3" x14ac:dyDescent="0.25">
      <c r="A29" t="s">
        <v>99</v>
      </c>
      <c r="B29" t="s">
        <v>42</v>
      </c>
      <c r="C29">
        <v>65</v>
      </c>
    </row>
    <row r="30" spans="1:3" x14ac:dyDescent="0.25">
      <c r="A30" t="s">
        <v>100</v>
      </c>
      <c r="B30" t="s">
        <v>34</v>
      </c>
      <c r="C30">
        <v>41</v>
      </c>
    </row>
    <row r="31" spans="1:3" x14ac:dyDescent="0.25">
      <c r="A31" t="s">
        <v>101</v>
      </c>
      <c r="B31" t="s">
        <v>34</v>
      </c>
      <c r="C31">
        <v>56</v>
      </c>
    </row>
    <row r="32" spans="1:3" x14ac:dyDescent="0.25">
      <c r="A32" t="s">
        <v>69</v>
      </c>
    </row>
  </sheetData>
  <conditionalFormatting sqref="C1:C1048576">
    <cfRule type="top10" dxfId="0" priority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Students data </vt:lpstr>
      <vt:lpstr>Sheet15</vt:lpstr>
      <vt:lpstr>cal</vt:lpstr>
      <vt:lpstr>Sheet16</vt:lpstr>
      <vt:lpstr>Sheet18</vt:lpstr>
      <vt:lpstr>Sheet14</vt:lpstr>
      <vt:lpstr>Dulpicated </vt:lpstr>
      <vt:lpstr>table style</vt:lpstr>
      <vt:lpstr>icon</vt:lpstr>
      <vt:lpstr>if function</vt:lpstr>
      <vt:lpstr>AND FUNCTION</vt:lpstr>
      <vt:lpstr>Count</vt:lpstr>
      <vt:lpstr>Average Function</vt:lpstr>
      <vt:lpstr>hightlight</vt:lpstr>
      <vt:lpstr>Data bar</vt:lpstr>
      <vt:lpstr>Top bottem ruls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kumawat</dc:creator>
  <cp:lastModifiedBy>Ritik kumawat</cp:lastModifiedBy>
  <dcterms:created xsi:type="dcterms:W3CDTF">2026-02-12T03:41:48Z</dcterms:created>
  <dcterms:modified xsi:type="dcterms:W3CDTF">2026-02-13T05:15:06Z</dcterms:modified>
</cp:coreProperties>
</file>